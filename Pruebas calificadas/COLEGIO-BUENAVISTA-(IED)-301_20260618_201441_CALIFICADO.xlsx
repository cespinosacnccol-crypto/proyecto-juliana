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2" customWidth="1" min="39" max="39"/>
    <col width="12" customWidth="1" min="40" max="40"/>
    <col width="12" customWidth="1" min="41" max="41"/>
    <col width="18" customWidth="1" min="42" max="4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CORRECTAS</t>
        </is>
      </c>
      <c r="AN1" s="1" t="inlineStr">
        <is>
          <t>INCORRECTAS</t>
        </is>
      </c>
      <c r="AO1" s="1" t="inlineStr">
        <is>
          <t>TOTAL_EVAL</t>
        </is>
      </c>
      <c r="AP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111001100013</t>
        </is>
      </c>
      <c r="C2" s="2" t="inlineStr">
        <is>
          <t>COLEGIO BUENAVISTA (IED)</t>
        </is>
      </c>
      <c r="D2" s="2" t="inlineStr">
        <is>
          <t>DERIAN NIKOLAY ARMERO GUISA</t>
        </is>
      </c>
      <c r="E2" s="2" t="inlineStr">
        <is>
          <t>1033817466</t>
        </is>
      </c>
      <c r="F2" s="2" t="n">
        <v>3</v>
      </c>
      <c r="G2" s="2" t="n">
        <v>301</v>
      </c>
      <c r="H2" s="2" t="inlineStr">
        <is>
          <t>MATEMÁTICAS</t>
        </is>
      </c>
      <c r="I2" s="2" t="inlineStr">
        <is>
          <t>D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C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3" t="inlineStr">
        <is>
          <t>CORRECTO</t>
        </is>
      </c>
      <c r="AC2" s="2" t="inlineStr">
        <is>
          <t>D</t>
        </is>
      </c>
      <c r="AD2" s="3" t="inlineStr">
        <is>
          <t>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D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5">
        <f>COUNTIF(J2:AL2,"CORRECTO")</f>
        <v/>
      </c>
      <c r="AN2" s="5">
        <f>COUNTIF(J2:AL2,"INCORRECTO")</f>
        <v/>
      </c>
      <c r="AO2" s="5" t="n">
        <v>15</v>
      </c>
      <c r="AP2" s="6">
        <f>AM2/AO2</f>
        <v/>
      </c>
    </row>
    <row r="3">
      <c r="A3" s="2" t="inlineStr">
        <is>
          <t>TRATADO</t>
        </is>
      </c>
      <c r="B3" s="2" t="inlineStr">
        <is>
          <t>111001100013</t>
        </is>
      </c>
      <c r="C3" s="2" t="inlineStr">
        <is>
          <t>COLEGIO BUENAVISTA (IED)</t>
        </is>
      </c>
      <c r="D3" s="2" t="inlineStr">
        <is>
          <t>NIÑO URBANO JOSEPH NATHAN</t>
        </is>
      </c>
      <c r="E3" s="2" t="inlineStr">
        <is>
          <t>1025567264</t>
        </is>
      </c>
      <c r="F3" s="2" t="n">
        <v>3</v>
      </c>
      <c r="G3" s="2" t="n">
        <v>301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CORRECTO</t>
        </is>
      </c>
      <c r="K3" s="2" t="inlineStr">
        <is>
          <t>A</t>
        </is>
      </c>
      <c r="L3" s="4" t="inlineStr">
        <is>
          <t>INCORRECTO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C</t>
        </is>
      </c>
      <c r="P3" s="3" t="inlineStr">
        <is>
          <t>CORRECTO</t>
        </is>
      </c>
      <c r="Q3" s="2" t="inlineStr">
        <is>
          <t>C</t>
        </is>
      </c>
      <c r="R3" s="4" t="inlineStr">
        <is>
          <t>INCORRECTO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C</t>
        </is>
      </c>
      <c r="AB3" s="3" t="inlineStr">
        <is>
          <t>CORRECTO</t>
        </is>
      </c>
      <c r="AC3" s="2" t="inlineStr">
        <is>
          <t>D</t>
        </is>
      </c>
      <c r="AD3" s="3" t="inlineStr">
        <is>
          <t>CORRECTO</t>
        </is>
      </c>
      <c r="AE3" s="2" t="inlineStr">
        <is>
          <t>D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3" t="inlineStr">
        <is>
          <t>CORRECTO</t>
        </is>
      </c>
      <c r="AK3" s="2" t="inlineStr"/>
      <c r="AL3" s="4" t="inlineStr">
        <is>
          <t>INCORRECTO</t>
        </is>
      </c>
      <c r="AM3" s="5">
        <f>COUNTIF(J3:AL3,"CORRECTO")</f>
        <v/>
      </c>
      <c r="AN3" s="5">
        <f>COUNTIF(J3:AL3,"INCORRECTO")</f>
        <v/>
      </c>
      <c r="AO3" s="5" t="n">
        <v>15</v>
      </c>
      <c r="AP3" s="6">
        <f>AM3/AO3</f>
        <v/>
      </c>
    </row>
    <row r="4">
      <c r="A4" s="2" t="inlineStr">
        <is>
          <t>TRATADO</t>
        </is>
      </c>
      <c r="B4" s="2" t="inlineStr">
        <is>
          <t>111001100013</t>
        </is>
      </c>
      <c r="C4" s="2" t="inlineStr">
        <is>
          <t>COLEGIO BUENAVISTA (IED)</t>
        </is>
      </c>
      <c r="D4" s="2" t="inlineStr">
        <is>
          <t>DULCE NAHOMY CESPEDES TOVAR</t>
        </is>
      </c>
      <c r="E4" s="2" t="inlineStr">
        <is>
          <t>1033815532</t>
        </is>
      </c>
      <c r="F4" s="2" t="n">
        <v>3</v>
      </c>
      <c r="G4" s="2" t="n">
        <v>301</v>
      </c>
      <c r="H4" s="2" t="inlineStr">
        <is>
          <t>MATEMÁTICAS</t>
        </is>
      </c>
      <c r="I4" s="2" t="inlineStr">
        <is>
          <t>D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D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A</t>
        </is>
      </c>
      <c r="V4" s="4" t="inlineStr">
        <is>
          <t>INCORRECTO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D</t>
        </is>
      </c>
      <c r="AB4" s="4" t="inlineStr">
        <is>
          <t>INCORRECTO</t>
        </is>
      </c>
      <c r="AC4" s="2" t="inlineStr">
        <is>
          <t>D</t>
        </is>
      </c>
      <c r="AD4" s="3" t="inlineStr">
        <is>
          <t>CORRECTO</t>
        </is>
      </c>
      <c r="AE4" s="2" t="inlineStr">
        <is>
          <t>C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D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5">
        <f>COUNTIF(J4:AL4,"CORRECTO")</f>
        <v/>
      </c>
      <c r="AN4" s="5">
        <f>COUNTIF(J4:AL4,"INCORRECTO")</f>
        <v/>
      </c>
      <c r="AO4" s="5" t="n">
        <v>15</v>
      </c>
      <c r="AP4" s="6">
        <f>AM4/AO4</f>
        <v/>
      </c>
    </row>
    <row r="5">
      <c r="A5" s="2" t="inlineStr">
        <is>
          <t>TRATADO</t>
        </is>
      </c>
      <c r="B5" s="2" t="inlineStr">
        <is>
          <t>111001100013</t>
        </is>
      </c>
      <c r="C5" s="2" t="inlineStr">
        <is>
          <t>COLEGIO BUENAVISTA (IED)</t>
        </is>
      </c>
      <c r="D5" s="2" t="inlineStr">
        <is>
          <t>SARA MALENA CASTRO SALAS</t>
        </is>
      </c>
      <c r="E5" s="2" t="inlineStr">
        <is>
          <t>1033822295</t>
        </is>
      </c>
      <c r="F5" s="2" t="n">
        <v>3</v>
      </c>
      <c r="G5" s="2" t="n">
        <v>301</v>
      </c>
      <c r="H5" s="2" t="inlineStr">
        <is>
          <t>MATEMÁTICAS</t>
        </is>
      </c>
      <c r="I5" s="2" t="inlineStr">
        <is>
          <t>D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B</t>
        </is>
      </c>
      <c r="N5" s="4" t="inlineStr">
        <is>
          <t>INCORRECTO</t>
        </is>
      </c>
      <c r="O5" s="2" t="inlineStr">
        <is>
          <t>C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D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A</t>
        </is>
      </c>
      <c r="Z5" s="4" t="inlineStr">
        <is>
          <t>INCORRECTO</t>
        </is>
      </c>
      <c r="AA5" s="2" t="inlineStr">
        <is>
          <t>C</t>
        </is>
      </c>
      <c r="AB5" s="3" t="inlineStr">
        <is>
          <t>CORRECTO</t>
        </is>
      </c>
      <c r="AC5" s="2" t="inlineStr">
        <is>
          <t>D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D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5">
        <f>COUNTIF(J5:AL5,"CORRECTO")</f>
        <v/>
      </c>
      <c r="AN5" s="5">
        <f>COUNTIF(J5:AL5,"INCORRECTO")</f>
        <v/>
      </c>
      <c r="AO5" s="5" t="n">
        <v>15</v>
      </c>
      <c r="AP5" s="6">
        <f>AM5/AO5</f>
        <v/>
      </c>
    </row>
    <row r="6">
      <c r="A6" s="2" t="inlineStr">
        <is>
          <t>TRATADO</t>
        </is>
      </c>
      <c r="B6" s="2" t="inlineStr">
        <is>
          <t>111001100013</t>
        </is>
      </c>
      <c r="C6" s="2" t="inlineStr">
        <is>
          <t>COLEGIO BUENAVISTA (IED)</t>
        </is>
      </c>
      <c r="D6" s="2" t="inlineStr">
        <is>
          <t>MARIAM CAMILA PADILLA BRITO</t>
        </is>
      </c>
      <c r="E6" s="2" t="inlineStr">
        <is>
          <t>1029296853</t>
        </is>
      </c>
      <c r="F6" s="2" t="n">
        <v>3</v>
      </c>
      <c r="G6" s="2" t="n">
        <v>301</v>
      </c>
      <c r="H6" s="2" t="inlineStr">
        <is>
          <t>MATEMÁTICAS</t>
        </is>
      </c>
      <c r="I6" s="2" t="inlineStr">
        <is>
          <t>D</t>
        </is>
      </c>
      <c r="J6" s="3" t="inlineStr">
        <is>
          <t>CORRECTO</t>
        </is>
      </c>
      <c r="K6" s="2" t="inlineStr">
        <is>
          <t>C</t>
        </is>
      </c>
      <c r="L6" s="4" t="inlineStr">
        <is>
          <t>INCORRECTO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C</t>
        </is>
      </c>
      <c r="V6" s="4" t="inlineStr">
        <is>
          <t>INCORRECTO</t>
        </is>
      </c>
      <c r="W6" s="2" t="inlineStr">
        <is>
          <t>D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D</t>
        </is>
      </c>
      <c r="AD6" s="3" t="inlineStr">
        <is>
          <t>CORRECTO</t>
        </is>
      </c>
      <c r="AE6" s="2" t="inlineStr">
        <is>
          <t>D</t>
        </is>
      </c>
      <c r="AF6" s="3" t="inlineStr">
        <is>
          <t>CORRECTO</t>
        </is>
      </c>
      <c r="AG6" s="2" t="inlineStr">
        <is>
          <t>A</t>
        </is>
      </c>
      <c r="AH6" s="4" t="inlineStr">
        <is>
          <t>INCORRECTO</t>
        </is>
      </c>
      <c r="AI6" s="2" t="inlineStr">
        <is>
          <t>D</t>
        </is>
      </c>
      <c r="AJ6" s="3" t="inlineStr">
        <is>
          <t>CORRECTO</t>
        </is>
      </c>
      <c r="AK6" s="2" t="inlineStr">
        <is>
          <t>A</t>
        </is>
      </c>
      <c r="AL6" s="3" t="inlineStr">
        <is>
          <t>CORRECTO</t>
        </is>
      </c>
      <c r="AM6" s="5">
        <f>COUNTIF(J6:AL6,"CORRECTO")</f>
        <v/>
      </c>
      <c r="AN6" s="5">
        <f>COUNTIF(J6:AL6,"INCORRECTO")</f>
        <v/>
      </c>
      <c r="AO6" s="5" t="n">
        <v>15</v>
      </c>
      <c r="AP6" s="6">
        <f>AM6/AO6</f>
        <v/>
      </c>
    </row>
    <row r="7">
      <c r="A7" s="2" t="inlineStr">
        <is>
          <t>TRATADO</t>
        </is>
      </c>
      <c r="B7" s="2" t="inlineStr">
        <is>
          <t>111001100013</t>
        </is>
      </c>
      <c r="C7" s="2" t="inlineStr">
        <is>
          <t>COLEGIO BUENAVISTA (IED)</t>
        </is>
      </c>
      <c r="D7" s="2" t="inlineStr">
        <is>
          <t>DANNA VALENTINA RODRIGUEZ CONTRERAS</t>
        </is>
      </c>
      <c r="E7" s="2" t="inlineStr">
        <is>
          <t>1033807350</t>
        </is>
      </c>
      <c r="F7" s="2" t="n">
        <v>3</v>
      </c>
      <c r="G7" s="2" t="n">
        <v>301</v>
      </c>
      <c r="H7" s="2" t="inlineStr">
        <is>
          <t>MATEMÁTICAS</t>
        </is>
      </c>
      <c r="I7" s="2" t="inlineStr">
        <is>
          <t>D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C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C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D</t>
        </is>
      </c>
      <c r="X7" s="3" t="inlineStr">
        <is>
          <t>CORRECTO</t>
        </is>
      </c>
      <c r="Y7" s="2" t="inlineStr">
        <is>
          <t>A</t>
        </is>
      </c>
      <c r="Z7" s="4" t="inlineStr">
        <is>
          <t>INCORRECTO</t>
        </is>
      </c>
      <c r="AA7" s="2" t="inlineStr">
        <is>
          <t>C</t>
        </is>
      </c>
      <c r="AB7" s="3" t="inlineStr">
        <is>
          <t>CORRECTO</t>
        </is>
      </c>
      <c r="AC7" s="2" t="inlineStr">
        <is>
          <t>D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D</t>
        </is>
      </c>
      <c r="AJ7" s="3" t="inlineStr">
        <is>
          <t>CORRECTO</t>
        </is>
      </c>
      <c r="AK7" s="2" t="inlineStr">
        <is>
          <t>A</t>
        </is>
      </c>
      <c r="AL7" s="3" t="inlineStr">
        <is>
          <t>CORRECTO</t>
        </is>
      </c>
      <c r="AM7" s="5">
        <f>COUNTIF(J7:AL7,"CORRECTO")</f>
        <v/>
      </c>
      <c r="AN7" s="5">
        <f>COUNTIF(J7:AL7,"INCORRECTO")</f>
        <v/>
      </c>
      <c r="AO7" s="5" t="n">
        <v>15</v>
      </c>
      <c r="AP7" s="6">
        <f>AM7/AO7</f>
        <v/>
      </c>
    </row>
    <row r="8">
      <c r="A8" s="2" t="inlineStr">
        <is>
          <t>TRATADO</t>
        </is>
      </c>
      <c r="B8" s="2" t="inlineStr">
        <is>
          <t>111001100013</t>
        </is>
      </c>
      <c r="C8" s="2" t="inlineStr">
        <is>
          <t>COLEGIO BUENAVISTA (IED)</t>
        </is>
      </c>
      <c r="D8" s="2" t="inlineStr">
        <is>
          <t>ASHLEY NICOLE GALLEGO RODRIGUEZ</t>
        </is>
      </c>
      <c r="E8" s="2" t="inlineStr">
        <is>
          <t>1025560897</t>
        </is>
      </c>
      <c r="F8" s="2" t="n">
        <v>3</v>
      </c>
      <c r="G8" s="2" t="n">
        <v>301</v>
      </c>
      <c r="H8" s="2" t="inlineStr">
        <is>
          <t>MATEMÁTICAS</t>
        </is>
      </c>
      <c r="I8" s="2" t="inlineStr">
        <is>
          <t>D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C</t>
        </is>
      </c>
      <c r="P8" s="3" t="inlineStr">
        <is>
          <t>CORRECTO</t>
        </is>
      </c>
      <c r="Q8" s="2" t="inlineStr">
        <is>
          <t>D</t>
        </is>
      </c>
      <c r="R8" s="4" t="inlineStr">
        <is>
          <t>INCORRECTO</t>
        </is>
      </c>
      <c r="S8" s="2" t="inlineStr">
        <is>
          <t>B</t>
        </is>
      </c>
      <c r="T8" s="4" t="inlineStr">
        <is>
          <t>INCORRECTO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C</t>
        </is>
      </c>
      <c r="AB8" s="3" t="inlineStr">
        <is>
          <t>CORRECTO</t>
        </is>
      </c>
      <c r="AC8" s="2" t="inlineStr">
        <is>
          <t>D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D</t>
        </is>
      </c>
      <c r="AJ8" s="3" t="inlineStr">
        <is>
          <t>CORRECTO</t>
        </is>
      </c>
      <c r="AK8" s="2" t="inlineStr">
        <is>
          <t>D</t>
        </is>
      </c>
      <c r="AL8" s="4" t="inlineStr">
        <is>
          <t>INCORRECTO</t>
        </is>
      </c>
      <c r="AM8" s="5">
        <f>COUNTIF(J8:AL8,"CORRECTO")</f>
        <v/>
      </c>
      <c r="AN8" s="5">
        <f>COUNTIF(J8:AL8,"INCORRECTO")</f>
        <v/>
      </c>
      <c r="AO8" s="5" t="n">
        <v>15</v>
      </c>
      <c r="AP8" s="6">
        <f>AM8/AO8</f>
        <v/>
      </c>
    </row>
    <row r="9">
      <c r="A9" s="2" t="inlineStr">
        <is>
          <t>TRATADO</t>
        </is>
      </c>
      <c r="B9" s="2" t="inlineStr">
        <is>
          <t>111001100013</t>
        </is>
      </c>
      <c r="C9" s="2" t="inlineStr">
        <is>
          <t>COLEGIO BUENAVISTA (IED)</t>
        </is>
      </c>
      <c r="D9" s="2" t="inlineStr">
        <is>
          <t>EMILY JULIANA RIOS REYES</t>
        </is>
      </c>
      <c r="E9" s="2" t="inlineStr">
        <is>
          <t>1023412436</t>
        </is>
      </c>
      <c r="F9" s="2" t="n">
        <v>3</v>
      </c>
      <c r="G9" s="2" t="n">
        <v>301</v>
      </c>
      <c r="H9" s="2" t="inlineStr">
        <is>
          <t>MATEMÁTICAS</t>
        </is>
      </c>
      <c r="I9" s="2" t="inlineStr">
        <is>
          <t>D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4" t="inlineStr">
        <is>
          <t>INCORRECTO</t>
        </is>
      </c>
      <c r="O9" s="2" t="inlineStr">
        <is>
          <t>C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A</t>
        </is>
      </c>
      <c r="V9" s="4" t="inlineStr">
        <is>
          <t>INCORRECTO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D</t>
        </is>
      </c>
      <c r="AB9" s="4" t="inlineStr">
        <is>
          <t>INCORRECTO</t>
        </is>
      </c>
      <c r="AC9" s="2" t="inlineStr">
        <is>
          <t>D</t>
        </is>
      </c>
      <c r="AD9" s="3" t="inlineStr">
        <is>
          <t>CORRECTO</t>
        </is>
      </c>
      <c r="AE9" s="2" t="inlineStr">
        <is>
          <t>C</t>
        </is>
      </c>
      <c r="AF9" s="4" t="inlineStr">
        <is>
          <t>INCORRECTO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D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5">
        <f>COUNTIF(J9:AL9,"CORRECTO")</f>
        <v/>
      </c>
      <c r="AN9" s="5">
        <f>COUNTIF(J9:AL9,"INCORRECTO")</f>
        <v/>
      </c>
      <c r="AO9" s="5" t="n">
        <v>15</v>
      </c>
      <c r="AP9" s="6">
        <f>AM9/AO9</f>
        <v/>
      </c>
    </row>
    <row r="10">
      <c r="A10" s="2" t="inlineStr">
        <is>
          <t>TRATADO</t>
        </is>
      </c>
      <c r="B10" s="2" t="inlineStr">
        <is>
          <t>111001100013</t>
        </is>
      </c>
      <c r="C10" s="2" t="inlineStr">
        <is>
          <t>COLEGIO BUENAVISTA (IED)</t>
        </is>
      </c>
      <c r="D10" s="2" t="inlineStr">
        <is>
          <t>ANTHONY MATIAS HIGUITA TORRES</t>
        </is>
      </c>
      <c r="E10" s="2" t="inlineStr">
        <is>
          <t>1023039571</t>
        </is>
      </c>
      <c r="F10" s="2" t="n">
        <v>3</v>
      </c>
      <c r="G10" s="2" t="n">
        <v>301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CORRECTO</t>
        </is>
      </c>
      <c r="K10" s="2" t="inlineStr">
        <is>
          <t>A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A</t>
        </is>
      </c>
      <c r="Z10" s="4" t="inlineStr">
        <is>
          <t>INCORRECTO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D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3" t="inlineStr">
        <is>
          <t>CORRECTO</t>
        </is>
      </c>
      <c r="AK10" s="2" t="inlineStr">
        <is>
          <t>B</t>
        </is>
      </c>
      <c r="AL10" s="4" t="inlineStr">
        <is>
          <t>INCORRECTO</t>
        </is>
      </c>
      <c r="AM10" s="5">
        <f>COUNTIF(J10:AL10,"CORRECTO")</f>
        <v/>
      </c>
      <c r="AN10" s="5">
        <f>COUNTIF(J10:AL10,"INCORRECTO")</f>
        <v/>
      </c>
      <c r="AO10" s="5" t="n">
        <v>15</v>
      </c>
      <c r="AP10" s="6">
        <f>AM10/AO10</f>
        <v/>
      </c>
    </row>
    <row r="11">
      <c r="A11" s="2" t="inlineStr">
        <is>
          <t>TRATADO</t>
        </is>
      </c>
      <c r="B11" s="2" t="inlineStr">
        <is>
          <t>111001100013</t>
        </is>
      </c>
      <c r="C11" s="2" t="inlineStr">
        <is>
          <t>COLEGIO BUENAVISTA (IED)</t>
        </is>
      </c>
      <c r="D11" s="2" t="inlineStr">
        <is>
          <t>JOSEPH MATIAS RINCON ZAPATA</t>
        </is>
      </c>
      <c r="E11" s="2" t="inlineStr">
        <is>
          <t>1011250867</t>
        </is>
      </c>
      <c r="F11" s="2" t="n">
        <v>3</v>
      </c>
      <c r="G11" s="2" t="n">
        <v>301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CORRECTO</t>
        </is>
      </c>
      <c r="K11" s="2" t="inlineStr">
        <is>
          <t>D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C</t>
        </is>
      </c>
      <c r="P11" s="3" t="inlineStr">
        <is>
          <t>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3" t="inlineStr">
        <is>
          <t>CORRECTO</t>
        </is>
      </c>
      <c r="AE11" s="2" t="inlineStr">
        <is>
          <t>D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D</t>
        </is>
      </c>
      <c r="AJ11" s="3" t="inlineStr">
        <is>
          <t>CORRECTO</t>
        </is>
      </c>
      <c r="AK11" s="2" t="inlineStr">
        <is>
          <t>D</t>
        </is>
      </c>
      <c r="AL11" s="4" t="inlineStr">
        <is>
          <t>INCORRECTO</t>
        </is>
      </c>
      <c r="AM11" s="5">
        <f>COUNTIF(J11:AL11,"CORRECTO")</f>
        <v/>
      </c>
      <c r="AN11" s="5">
        <f>COUNTIF(J11:AL11,"INCORRECTO")</f>
        <v/>
      </c>
      <c r="AO11" s="5" t="n">
        <v>15</v>
      </c>
      <c r="AP11" s="6">
        <f>AM11/AO11</f>
        <v/>
      </c>
    </row>
    <row r="12">
      <c r="A12" s="2" t="inlineStr">
        <is>
          <t>TRATADO</t>
        </is>
      </c>
      <c r="B12" s="2" t="inlineStr">
        <is>
          <t>111001100013</t>
        </is>
      </c>
      <c r="C12" s="2" t="inlineStr">
        <is>
          <t>COLEGIO BUENAVISTA (IED)</t>
        </is>
      </c>
      <c r="D12" s="2" t="inlineStr">
        <is>
          <t>LINDSEY MARIANA LARA MORALES</t>
        </is>
      </c>
      <c r="E12" s="2" t="inlineStr">
        <is>
          <t>1033815514</t>
        </is>
      </c>
      <c r="F12" s="2" t="n">
        <v>3</v>
      </c>
      <c r="G12" s="2" t="n">
        <v>301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INCORRECTO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D</t>
        </is>
      </c>
      <c r="V12" s="4" t="inlineStr">
        <is>
          <t>INCORRECTO</t>
        </is>
      </c>
      <c r="W12" s="2" t="inlineStr">
        <is>
          <t>D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D</t>
        </is>
      </c>
      <c r="AD12" s="3" t="inlineStr">
        <is>
          <t>CORRECTO</t>
        </is>
      </c>
      <c r="AE12" s="2" t="inlineStr">
        <is>
          <t>D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D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5">
        <f>COUNTIF(J12:AL12,"CORRECTO")</f>
        <v/>
      </c>
      <c r="AN12" s="5">
        <f>COUNTIF(J12:AL12,"INCORRECTO")</f>
        <v/>
      </c>
      <c r="AO12" s="5" t="n">
        <v>15</v>
      </c>
      <c r="AP12" s="6">
        <f>AM12/AO12</f>
        <v/>
      </c>
    </row>
    <row r="13">
      <c r="A13" s="2" t="inlineStr">
        <is>
          <t>TRATADO</t>
        </is>
      </c>
      <c r="B13" s="2" t="inlineStr">
        <is>
          <t>111001100013</t>
        </is>
      </c>
      <c r="C13" s="2" t="inlineStr">
        <is>
          <t>COLEGIO BUENAVISTA (IED)</t>
        </is>
      </c>
      <c r="D13" s="2" t="inlineStr">
        <is>
          <t>AILEN LUCIANA PINEDA VELASQUEZ</t>
        </is>
      </c>
      <c r="E13" s="2" t="inlineStr">
        <is>
          <t>1025560702</t>
        </is>
      </c>
      <c r="F13" s="2" t="n">
        <v>3</v>
      </c>
      <c r="G13" s="2" t="n">
        <v>301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CORRECTO</t>
        </is>
      </c>
      <c r="K13" s="2" t="inlineStr">
        <is>
          <t>A</t>
        </is>
      </c>
      <c r="L13" s="4" t="inlineStr">
        <is>
          <t>INCORRECTO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C</t>
        </is>
      </c>
      <c r="P13" s="3" t="inlineStr">
        <is>
          <t>CORRECTO</t>
        </is>
      </c>
      <c r="Q13" s="2" t="inlineStr">
        <is>
          <t>C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D</t>
        </is>
      </c>
      <c r="V13" s="4" t="inlineStr">
        <is>
          <t>INCORRECTO</t>
        </is>
      </c>
      <c r="W13" s="2" t="inlineStr">
        <is>
          <t>D</t>
        </is>
      </c>
      <c r="X13" s="3" t="inlineStr">
        <is>
          <t>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C</t>
        </is>
      </c>
      <c r="AB13" s="3" t="inlineStr">
        <is>
          <t>CORRECTO</t>
        </is>
      </c>
      <c r="AC13" s="2" t="inlineStr">
        <is>
          <t>D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D</t>
        </is>
      </c>
      <c r="AJ13" s="3" t="inlineStr">
        <is>
          <t>CORRECTO</t>
        </is>
      </c>
      <c r="AK13" s="2" t="inlineStr">
        <is>
          <t>D</t>
        </is>
      </c>
      <c r="AL13" s="4" t="inlineStr">
        <is>
          <t>INCORRECTO</t>
        </is>
      </c>
      <c r="AM13" s="5">
        <f>COUNTIF(J13:AL13,"CORRECTO")</f>
        <v/>
      </c>
      <c r="AN13" s="5">
        <f>COUNTIF(J13:AL13,"INCORRECTO")</f>
        <v/>
      </c>
      <c r="AO13" s="5" t="n">
        <v>15</v>
      </c>
      <c r="AP13" s="6">
        <f>AM13/AO13</f>
        <v/>
      </c>
    </row>
    <row r="14">
      <c r="A14" s="2" t="inlineStr">
        <is>
          <t>TRATADO</t>
        </is>
      </c>
      <c r="B14" s="2" t="inlineStr">
        <is>
          <t>111001100013</t>
        </is>
      </c>
      <c r="C14" s="2" t="inlineStr">
        <is>
          <t>COLEGIO BUENAVISTA (IED)</t>
        </is>
      </c>
      <c r="D14" s="2" t="inlineStr">
        <is>
          <t>LAURA SALOMÉ PALACIOS OTALORA</t>
        </is>
      </c>
      <c r="E14" s="2" t="inlineStr">
        <is>
          <t>1075806476</t>
        </is>
      </c>
      <c r="F14" s="2" t="n">
        <v>3</v>
      </c>
      <c r="G14" s="2" t="n">
        <v>301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CORRECTO</t>
        </is>
      </c>
      <c r="K14" s="2" t="inlineStr">
        <is>
          <t>A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C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D</t>
        </is>
      </c>
      <c r="V14" s="4" t="inlineStr">
        <is>
          <t>INCORRECTO</t>
        </is>
      </c>
      <c r="W14" s="2" t="inlineStr">
        <is>
          <t>C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C</t>
        </is>
      </c>
      <c r="AB14" s="3" t="inlineStr">
        <is>
          <t>CORRECTO</t>
        </is>
      </c>
      <c r="AC14" s="2" t="inlineStr">
        <is>
          <t>D</t>
        </is>
      </c>
      <c r="AD14" s="3" t="inlineStr">
        <is>
          <t>CORRECTO</t>
        </is>
      </c>
      <c r="AE14" s="2" t="inlineStr">
        <is>
          <t>C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D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5">
        <f>COUNTIF(J14:AL14,"CORRECTO")</f>
        <v/>
      </c>
      <c r="AN14" s="5">
        <f>COUNTIF(J14:AL14,"INCORRECTO")</f>
        <v/>
      </c>
      <c r="AO14" s="5" t="n">
        <v>15</v>
      </c>
      <c r="AP14" s="6">
        <f>AM14/AO14</f>
        <v/>
      </c>
    </row>
    <row r="15">
      <c r="A15" s="2" t="inlineStr">
        <is>
          <t>TRATADO</t>
        </is>
      </c>
      <c r="B15" s="2" t="inlineStr">
        <is>
          <t>111001100013</t>
        </is>
      </c>
      <c r="C15" s="2" t="inlineStr">
        <is>
          <t>COLEGIO BUENAVISTA (IED)</t>
        </is>
      </c>
      <c r="D15" s="2" t="inlineStr">
        <is>
          <t>SARA JULIETH RANGEL SOGAMOSO</t>
        </is>
      </c>
      <c r="E15" s="2" t="inlineStr">
        <is>
          <t>1033821411</t>
        </is>
      </c>
      <c r="F15" s="2" t="n">
        <v>3</v>
      </c>
      <c r="G15" s="2" t="n">
        <v>301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CORRECTO</t>
        </is>
      </c>
      <c r="K15" s="2" t="inlineStr">
        <is>
          <t>A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C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C</t>
        </is>
      </c>
      <c r="T15" s="3" t="inlineStr">
        <is>
          <t>CORRECTO</t>
        </is>
      </c>
      <c r="U15" s="2" t="inlineStr">
        <is>
          <t>D</t>
        </is>
      </c>
      <c r="V15" s="4" t="inlineStr">
        <is>
          <t>INCORRECTO</t>
        </is>
      </c>
      <c r="W15" s="2" t="inlineStr">
        <is>
          <t>D</t>
        </is>
      </c>
      <c r="X15" s="3" t="inlineStr">
        <is>
          <t>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3" t="inlineStr">
        <is>
          <t>CORRECTO</t>
        </is>
      </c>
      <c r="AC15" s="2" t="inlineStr">
        <is>
          <t>D</t>
        </is>
      </c>
      <c r="AD15" s="3" t="inlineStr">
        <is>
          <t>CORRECTO</t>
        </is>
      </c>
      <c r="AE15" s="2" t="inlineStr">
        <is>
          <t>C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D</t>
        </is>
      </c>
      <c r="AJ15" s="3" t="inlineStr">
        <is>
          <t>CORRECTO</t>
        </is>
      </c>
      <c r="AK15" s="2" t="inlineStr">
        <is>
          <t>D</t>
        </is>
      </c>
      <c r="AL15" s="4" t="inlineStr">
        <is>
          <t>INCORRECTO</t>
        </is>
      </c>
      <c r="AM15" s="5">
        <f>COUNTIF(J15:AL15,"CORRECTO")</f>
        <v/>
      </c>
      <c r="AN15" s="5">
        <f>COUNTIF(J15:AL15,"INCORRECTO")</f>
        <v/>
      </c>
      <c r="AO15" s="5" t="n">
        <v>15</v>
      </c>
      <c r="AP15" s="6">
        <f>AM15/AO15</f>
        <v/>
      </c>
    </row>
    <row r="16">
      <c r="A16" s="2" t="inlineStr">
        <is>
          <t>TRATADO</t>
        </is>
      </c>
      <c r="B16" s="2" t="inlineStr">
        <is>
          <t>111001100013</t>
        </is>
      </c>
      <c r="C16" s="2" t="inlineStr">
        <is>
          <t>COLEGIO BUENAVISTA (IED)</t>
        </is>
      </c>
      <c r="D16" s="2" t="inlineStr">
        <is>
          <t>MAXIMILIANO PEREZ LEON</t>
        </is>
      </c>
      <c r="E16" s="2" t="inlineStr">
        <is>
          <t>1023411427</t>
        </is>
      </c>
      <c r="F16" s="2" t="n">
        <v>3</v>
      </c>
      <c r="G16" s="2" t="n">
        <v>301</v>
      </c>
      <c r="H16" s="2" t="inlineStr">
        <is>
          <t>MATEMÁTICAS</t>
        </is>
      </c>
      <c r="I16" s="2" t="inlineStr">
        <is>
          <t>D</t>
        </is>
      </c>
      <c r="J16" s="3" t="inlineStr">
        <is>
          <t>CORRECTO</t>
        </is>
      </c>
      <c r="K16" s="2" t="inlineStr">
        <is>
          <t>D</t>
        </is>
      </c>
      <c r="L16" s="4" t="inlineStr">
        <is>
          <t>INCORRECTO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C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D</t>
        </is>
      </c>
      <c r="AD16" s="3" t="inlineStr">
        <is>
          <t>CORRECTO</t>
        </is>
      </c>
      <c r="AE16" s="2" t="inlineStr">
        <is>
          <t>D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D</t>
        </is>
      </c>
      <c r="AJ16" s="3" t="inlineStr">
        <is>
          <t>CORRECTO</t>
        </is>
      </c>
      <c r="AK16" s="2" t="inlineStr">
        <is>
          <t>B</t>
        </is>
      </c>
      <c r="AL16" s="4" t="inlineStr">
        <is>
          <t>INCORRECTO</t>
        </is>
      </c>
      <c r="AM16" s="5">
        <f>COUNTIF(J16:AL16,"CORRECTO")</f>
        <v/>
      </c>
      <c r="AN16" s="5">
        <f>COUNTIF(J16:AL16,"INCORRECTO")</f>
        <v/>
      </c>
      <c r="AO16" s="5" t="n">
        <v>15</v>
      </c>
      <c r="AP16" s="6">
        <f>AM16/AO16</f>
        <v/>
      </c>
    </row>
    <row r="17">
      <c r="A17" s="2" t="inlineStr">
        <is>
          <t>TRATADO</t>
        </is>
      </c>
      <c r="B17" s="2" t="inlineStr">
        <is>
          <t>111001100013</t>
        </is>
      </c>
      <c r="C17" s="2" t="inlineStr">
        <is>
          <t>COLEGIO BUENAVISTA (IED)</t>
        </is>
      </c>
      <c r="D17" s="2" t="inlineStr">
        <is>
          <t>DYLAN STIVEN UMAÑA RUIZ</t>
        </is>
      </c>
      <c r="E17" s="2" t="inlineStr">
        <is>
          <t>1023980366</t>
        </is>
      </c>
      <c r="F17" s="2" t="n">
        <v>3</v>
      </c>
      <c r="G17" s="2" t="n">
        <v>301</v>
      </c>
      <c r="H17" s="2" t="inlineStr">
        <is>
          <t>MATEMÁTICAS</t>
        </is>
      </c>
      <c r="I17" s="2" t="inlineStr">
        <is>
          <t>D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C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C</t>
        </is>
      </c>
      <c r="V17" s="4" t="inlineStr">
        <is>
          <t>INCORRECTO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C</t>
        </is>
      </c>
      <c r="AB17" s="3" t="inlineStr">
        <is>
          <t>CORRECTO</t>
        </is>
      </c>
      <c r="AC17" s="2" t="inlineStr">
        <is>
          <t>D</t>
        </is>
      </c>
      <c r="AD17" s="3" t="inlineStr">
        <is>
          <t>CORRECTO</t>
        </is>
      </c>
      <c r="AE17" s="2" t="inlineStr">
        <is>
          <t>D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D</t>
        </is>
      </c>
      <c r="AJ17" s="3" t="inlineStr">
        <is>
          <t>CORRECTO</t>
        </is>
      </c>
      <c r="AK17" s="2" t="inlineStr">
        <is>
          <t>C</t>
        </is>
      </c>
      <c r="AL17" s="4" t="inlineStr">
        <is>
          <t>INCORRECTO</t>
        </is>
      </c>
      <c r="AM17" s="5">
        <f>COUNTIF(J17:AL17,"CORRECTO")</f>
        <v/>
      </c>
      <c r="AN17" s="5">
        <f>COUNTIF(J17:AL17,"INCORRECTO")</f>
        <v/>
      </c>
      <c r="AO17" s="5" t="n">
        <v>15</v>
      </c>
      <c r="AP17" s="6">
        <f>AM17/AO17</f>
        <v/>
      </c>
    </row>
    <row r="18">
      <c r="A18" s="2" t="inlineStr">
        <is>
          <t>TRATADO</t>
        </is>
      </c>
      <c r="B18" s="2" t="inlineStr">
        <is>
          <t>111001100013</t>
        </is>
      </c>
      <c r="C18" s="2" t="inlineStr">
        <is>
          <t>COLEGIO BUENAVISTA (IED)</t>
        </is>
      </c>
      <c r="D18" s="2" t="inlineStr">
        <is>
          <t>SIRIANNY CAROLINA PRIETO HERNANDEZ</t>
        </is>
      </c>
      <c r="E18" s="2" t="inlineStr">
        <is>
          <t>6361291</t>
        </is>
      </c>
      <c r="F18" s="2" t="n">
        <v>3</v>
      </c>
      <c r="G18" s="2" t="n">
        <v>301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CORRECTO</t>
        </is>
      </c>
      <c r="K18" s="2" t="inlineStr">
        <is>
          <t>A</t>
        </is>
      </c>
      <c r="L18" s="4" t="inlineStr">
        <is>
          <t>INCORRECTO</t>
        </is>
      </c>
      <c r="M18" s="2" t="inlineStr">
        <is>
          <t>A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4" t="inlineStr">
        <is>
          <t>INCORRECTO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D</t>
        </is>
      </c>
      <c r="AD18" s="3" t="inlineStr">
        <is>
          <t>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D</t>
        </is>
      </c>
      <c r="AJ18" s="3" t="inlineStr">
        <is>
          <t>CORRECTO</t>
        </is>
      </c>
      <c r="AK18" s="2" t="inlineStr">
        <is>
          <t>C</t>
        </is>
      </c>
      <c r="AL18" s="4" t="inlineStr">
        <is>
          <t>INCORRECTO</t>
        </is>
      </c>
      <c r="AM18" s="5">
        <f>COUNTIF(J18:AL18,"CORRECTO")</f>
        <v/>
      </c>
      <c r="AN18" s="5">
        <f>COUNTIF(J18:AL18,"INCORRECTO")</f>
        <v/>
      </c>
      <c r="AO18" s="5" t="n">
        <v>15</v>
      </c>
      <c r="AP18" s="6">
        <f>AM18/AO18</f>
        <v/>
      </c>
    </row>
    <row r="19">
      <c r="A19" s="2" t="inlineStr">
        <is>
          <t>TRATADO</t>
        </is>
      </c>
      <c r="B19" s="2" t="inlineStr">
        <is>
          <t>111001100013</t>
        </is>
      </c>
      <c r="C19" s="2" t="inlineStr">
        <is>
          <t>COLEGIO BUENAVISTA (IED)</t>
        </is>
      </c>
      <c r="D19" s="2" t="inlineStr">
        <is>
          <t>JONATHAN FELIPE CASAS CARDENAS</t>
        </is>
      </c>
      <c r="E19" s="2" t="inlineStr">
        <is>
          <t>1033815885</t>
        </is>
      </c>
      <c r="F19" s="2" t="n">
        <v>3</v>
      </c>
      <c r="G19" s="2" t="n">
        <v>301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CORRECTO</t>
        </is>
      </c>
      <c r="K19" s="2" t="inlineStr">
        <is>
          <t>A</t>
        </is>
      </c>
      <c r="L19" s="4" t="inlineStr">
        <is>
          <t>INCORRECTO</t>
        </is>
      </c>
      <c r="M19" s="2" t="inlineStr"/>
      <c r="N19" s="4" t="inlineStr">
        <is>
          <t>INCORRECTO</t>
        </is>
      </c>
      <c r="O19" s="2" t="inlineStr"/>
      <c r="P19" s="4" t="inlineStr">
        <is>
          <t>INCORRECTO</t>
        </is>
      </c>
      <c r="Q19" s="2" t="inlineStr"/>
      <c r="R19" s="4" t="inlineStr">
        <is>
          <t>INCORRECTO</t>
        </is>
      </c>
      <c r="S19" s="2" t="inlineStr"/>
      <c r="T19" s="4" t="inlineStr">
        <is>
          <t>INCORRECTO</t>
        </is>
      </c>
      <c r="U19" s="2" t="inlineStr"/>
      <c r="V19" s="4" t="inlineStr">
        <is>
          <t>INCORRECTO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3" t="inlineStr">
        <is>
          <t>CORRECTO</t>
        </is>
      </c>
      <c r="AE19" s="2" t="inlineStr">
        <is>
          <t>C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/>
      <c r="AJ19" s="4" t="inlineStr">
        <is>
          <t>INCORRECTO</t>
        </is>
      </c>
      <c r="AK19" s="2" t="inlineStr"/>
      <c r="AL19" s="4" t="inlineStr">
        <is>
          <t>INCORRECTO</t>
        </is>
      </c>
      <c r="AM19" s="5">
        <f>COUNTIF(J19:AL19,"CORRECTO")</f>
        <v/>
      </c>
      <c r="AN19" s="5">
        <f>COUNTIF(J19:AL19,"INCORRECTO")</f>
        <v/>
      </c>
      <c r="AO19" s="5" t="n">
        <v>15</v>
      </c>
      <c r="AP19" s="6">
        <f>AM19/AO19</f>
        <v/>
      </c>
    </row>
    <row r="20">
      <c r="A20" s="2" t="inlineStr">
        <is>
          <t>TRATADO</t>
        </is>
      </c>
      <c r="B20" s="2" t="inlineStr">
        <is>
          <t>111001100013</t>
        </is>
      </c>
      <c r="C20" s="2" t="inlineStr">
        <is>
          <t>COLEGIO BUENAVISTA (IED)</t>
        </is>
      </c>
      <c r="D20" s="2" t="inlineStr">
        <is>
          <t>LAURA FERNANDA TOLENTINO FLOREZ</t>
        </is>
      </c>
      <c r="E20" s="2" t="inlineStr">
        <is>
          <t>1025560613</t>
        </is>
      </c>
      <c r="F20" s="2" t="n">
        <v>3</v>
      </c>
      <c r="G20" s="2" t="n">
        <v>301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C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D</t>
        </is>
      </c>
      <c r="V20" s="4" t="inlineStr">
        <is>
          <t>INCORRECTO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D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D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5">
        <f>COUNTIF(J20:AL20,"CORRECTO")</f>
        <v/>
      </c>
      <c r="AN20" s="5">
        <f>COUNTIF(J20:AL20,"INCORRECTO")</f>
        <v/>
      </c>
      <c r="AO20" s="5" t="n">
        <v>15</v>
      </c>
      <c r="AP20" s="6">
        <f>AM20/AO20</f>
        <v/>
      </c>
    </row>
    <row r="21">
      <c r="A21" s="2" t="inlineStr">
        <is>
          <t>TRATADO</t>
        </is>
      </c>
      <c r="B21" s="2" t="inlineStr">
        <is>
          <t>111001100013</t>
        </is>
      </c>
      <c r="C21" s="2" t="inlineStr">
        <is>
          <t>COLEGIO BUENAVISTA (IED)</t>
        </is>
      </c>
      <c r="D21" s="2" t="inlineStr">
        <is>
          <t>MATHIAS MUÑOZ BELTRAN</t>
        </is>
      </c>
      <c r="E21" s="2" t="inlineStr">
        <is>
          <t>1011248276</t>
        </is>
      </c>
      <c r="F21" s="2" t="n">
        <v>3</v>
      </c>
      <c r="G21" s="2" t="n">
        <v>301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C</t>
        </is>
      </c>
      <c r="P21" s="3" t="inlineStr">
        <is>
          <t>CORRECTO</t>
        </is>
      </c>
      <c r="Q21" s="2" t="inlineStr">
        <is>
          <t>C</t>
        </is>
      </c>
      <c r="R21" s="4" t="inlineStr">
        <is>
          <t>INCORRECTO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C</t>
        </is>
      </c>
      <c r="V21" s="4" t="inlineStr">
        <is>
          <t>INCORRECTO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D</t>
        </is>
      </c>
      <c r="AD21" s="3" t="inlineStr">
        <is>
          <t>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D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5">
        <f>COUNTIF(J21:AL21,"CORRECTO")</f>
        <v/>
      </c>
      <c r="AN21" s="5">
        <f>COUNTIF(J21:AL21,"INCORRECTO")</f>
        <v/>
      </c>
      <c r="AO21" s="5" t="n">
        <v>15</v>
      </c>
      <c r="AP21" s="6">
        <f>AM21/AO21</f>
        <v/>
      </c>
    </row>
    <row r="22">
      <c r="A22" s="2" t="inlineStr">
        <is>
          <t>TRATADO</t>
        </is>
      </c>
      <c r="B22" s="2" t="inlineStr">
        <is>
          <t>111001100013</t>
        </is>
      </c>
      <c r="C22" s="2" t="inlineStr">
        <is>
          <t>COLEGIO BUENAVISTA (IED)</t>
        </is>
      </c>
      <c r="D22" s="2" t="inlineStr">
        <is>
          <t>AILYN SOFIA MENDOZA FRANCO</t>
        </is>
      </c>
      <c r="E22" s="2" t="inlineStr">
        <is>
          <t>1027539134</t>
        </is>
      </c>
      <c r="F22" s="2" t="n">
        <v>3</v>
      </c>
      <c r="G22" s="2" t="n">
        <v>301</v>
      </c>
      <c r="H22" s="2" t="inlineStr">
        <is>
          <t>MATEMÁTICAS</t>
        </is>
      </c>
      <c r="I22" s="2" t="inlineStr">
        <is>
          <t>D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A</t>
        </is>
      </c>
      <c r="T22" s="4" t="inlineStr">
        <is>
          <t>INCORRECTO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D</t>
        </is>
      </c>
      <c r="X22" s="3" t="inlineStr">
        <is>
          <t>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D</t>
        </is>
      </c>
      <c r="AB22" s="4" t="inlineStr">
        <is>
          <t>INCORRECTO</t>
        </is>
      </c>
      <c r="AC22" s="2" t="inlineStr">
        <is>
          <t>D</t>
        </is>
      </c>
      <c r="AD22" s="3" t="inlineStr">
        <is>
          <t>CORRECTO</t>
        </is>
      </c>
      <c r="AE22" s="2" t="inlineStr">
        <is>
          <t>D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5">
        <f>COUNTIF(J22:AL22,"CORRECTO")</f>
        <v/>
      </c>
      <c r="AN22" s="5">
        <f>COUNTIF(J22:AL22,"INCORRECTO")</f>
        <v/>
      </c>
      <c r="AO22" s="5" t="n">
        <v>15</v>
      </c>
      <c r="AP22" s="6">
        <f>AM22/AO22</f>
        <v/>
      </c>
    </row>
    <row r="23">
      <c r="A23" s="2" t="inlineStr">
        <is>
          <t>TRATADO</t>
        </is>
      </c>
      <c r="B23" s="2" t="inlineStr">
        <is>
          <t>111001100013</t>
        </is>
      </c>
      <c r="C23" s="2" t="inlineStr">
        <is>
          <t>COLEGIO BUENAVISTA (IED)</t>
        </is>
      </c>
      <c r="D23" s="2" t="inlineStr">
        <is>
          <t>MATIAS GARZON BARAJAS</t>
        </is>
      </c>
      <c r="E23" s="2" t="inlineStr">
        <is>
          <t>1033811206</t>
        </is>
      </c>
      <c r="F23" s="2" t="n">
        <v>3</v>
      </c>
      <c r="G23" s="2" t="n">
        <v>301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B</t>
        </is>
      </c>
      <c r="P23" s="4" t="inlineStr">
        <is>
          <t>INCORRECTO</t>
        </is>
      </c>
      <c r="Q23" s="2" t="inlineStr">
        <is>
          <t>C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D</t>
        </is>
      </c>
      <c r="X23" s="3" t="inlineStr">
        <is>
          <t>CORRECTO</t>
        </is>
      </c>
      <c r="Y23" s="2" t="inlineStr">
        <is>
          <t>D</t>
        </is>
      </c>
      <c r="Z23" s="4" t="inlineStr">
        <is>
          <t>INCORRECTO</t>
        </is>
      </c>
      <c r="AA23" s="2" t="inlineStr">
        <is>
          <t>C</t>
        </is>
      </c>
      <c r="AB23" s="3" t="inlineStr">
        <is>
          <t>CORRECTO</t>
        </is>
      </c>
      <c r="AC23" s="2" t="inlineStr">
        <is>
          <t>D</t>
        </is>
      </c>
      <c r="AD23" s="3" t="inlineStr">
        <is>
          <t>CORRECTO</t>
        </is>
      </c>
      <c r="AE23" s="2" t="inlineStr">
        <is>
          <t>D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D</t>
        </is>
      </c>
      <c r="AJ23" s="3" t="inlineStr">
        <is>
          <t>CORRECTO</t>
        </is>
      </c>
      <c r="AK23" s="2" t="inlineStr">
        <is>
          <t>C</t>
        </is>
      </c>
      <c r="AL23" s="4" t="inlineStr">
        <is>
          <t>INCORRECTO</t>
        </is>
      </c>
      <c r="AM23" s="5">
        <f>COUNTIF(J23:AL23,"CORRECTO")</f>
        <v/>
      </c>
      <c r="AN23" s="5">
        <f>COUNTIF(J23:AL23,"INCORRECTO")</f>
        <v/>
      </c>
      <c r="AO23" s="5" t="n">
        <v>15</v>
      </c>
      <c r="AP23" s="6">
        <f>AM23/AO23</f>
        <v/>
      </c>
    </row>
    <row r="24">
      <c r="A24" s="2" t="inlineStr">
        <is>
          <t>TRATADO</t>
        </is>
      </c>
      <c r="B24" s="2" t="inlineStr">
        <is>
          <t>111001100013</t>
        </is>
      </c>
      <c r="C24" s="2" t="inlineStr">
        <is>
          <t>COLEGIO BUENAVISTA (IED)</t>
        </is>
      </c>
      <c r="D24" s="2" t="inlineStr">
        <is>
          <t>LUCIANA ABRIL SERNA</t>
        </is>
      </c>
      <c r="E24" s="2" t="inlineStr">
        <is>
          <t>1021693287</t>
        </is>
      </c>
      <c r="F24" s="2" t="n">
        <v>3</v>
      </c>
      <c r="G24" s="2" t="n">
        <v>301</v>
      </c>
      <c r="H24" s="2" t="inlineStr">
        <is>
          <t>MATEMÁTICAS</t>
        </is>
      </c>
      <c r="I24" s="2" t="inlineStr">
        <is>
          <t>D</t>
        </is>
      </c>
      <c r="J24" s="3" t="inlineStr">
        <is>
          <t>CORRECTO</t>
        </is>
      </c>
      <c r="K24" s="2" t="inlineStr">
        <is>
          <t>C</t>
        </is>
      </c>
      <c r="L24" s="4" t="inlineStr">
        <is>
          <t>INCORRECTO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C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D</t>
        </is>
      </c>
      <c r="T24" s="4" t="inlineStr">
        <is>
          <t>INCORRECTO</t>
        </is>
      </c>
      <c r="U24" s="2" t="inlineStr">
        <is>
          <t>A</t>
        </is>
      </c>
      <c r="V24" s="4" t="inlineStr">
        <is>
          <t>INCORRECTO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3" t="inlineStr">
        <is>
          <t>CORRECTO</t>
        </is>
      </c>
      <c r="AE24" s="2" t="inlineStr">
        <is>
          <t>C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5">
        <f>COUNTIF(J24:AL24,"CORRECTO")</f>
        <v/>
      </c>
      <c r="AN24" s="5">
        <f>COUNTIF(J24:AL24,"INCORRECTO")</f>
        <v/>
      </c>
      <c r="AO24" s="5" t="n">
        <v>15</v>
      </c>
      <c r="AP24" s="6">
        <f>AM24/AO24</f>
        <v/>
      </c>
    </row>
    <row r="25">
      <c r="A25" s="2" t="inlineStr">
        <is>
          <t>TRATADO</t>
        </is>
      </c>
      <c r="B25" s="2" t="inlineStr">
        <is>
          <t>111001100013</t>
        </is>
      </c>
      <c r="C25" s="2" t="inlineStr">
        <is>
          <t>COLEGIO BUENAVISTA (IED)</t>
        </is>
      </c>
      <c r="D25" s="2" t="inlineStr">
        <is>
          <t>DAILEN SAMARA HERNANDEZ DUARTE</t>
        </is>
      </c>
      <c r="E25" s="2" t="inlineStr">
        <is>
          <t>1122940004</t>
        </is>
      </c>
      <c r="F25" s="2" t="n">
        <v>3</v>
      </c>
      <c r="G25" s="2" t="n">
        <v>301</v>
      </c>
      <c r="H25" s="2" t="inlineStr">
        <is>
          <t>MATEMÁTICAS</t>
        </is>
      </c>
      <c r="I25" s="2" t="inlineStr">
        <is>
          <t>D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C</t>
        </is>
      </c>
      <c r="T25" s="3" t="inlineStr">
        <is>
          <t>CORRECTO</t>
        </is>
      </c>
      <c r="U25" s="2" t="inlineStr">
        <is>
          <t>A</t>
        </is>
      </c>
      <c r="V25" s="4" t="inlineStr">
        <is>
          <t>INCORRECTO</t>
        </is>
      </c>
      <c r="W25" s="2" t="inlineStr">
        <is>
          <t>C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D</t>
        </is>
      </c>
      <c r="AD25" s="3" t="inlineStr">
        <is>
          <t>CORRECTO</t>
        </is>
      </c>
      <c r="AE25" s="2" t="inlineStr">
        <is>
          <t>C</t>
        </is>
      </c>
      <c r="AF25" s="4" t="inlineStr">
        <is>
          <t>INCORRECTO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D</t>
        </is>
      </c>
      <c r="AJ25" s="3" t="inlineStr">
        <is>
          <t>CORRECTO</t>
        </is>
      </c>
      <c r="AK25" s="2" t="inlineStr"/>
      <c r="AL25" s="4" t="inlineStr">
        <is>
          <t>INCORRECTO</t>
        </is>
      </c>
      <c r="AM25" s="5">
        <f>COUNTIF(J25:AL25,"CORRECTO")</f>
        <v/>
      </c>
      <c r="AN25" s="5">
        <f>COUNTIF(J25:AL25,"INCORRECTO")</f>
        <v/>
      </c>
      <c r="AO25" s="5" t="n">
        <v>15</v>
      </c>
      <c r="AP25" s="6">
        <f>AM25/AO25</f>
        <v/>
      </c>
    </row>
    <row r="26">
      <c r="A26" s="2" t="inlineStr">
        <is>
          <t>TRATADO</t>
        </is>
      </c>
      <c r="B26" s="2" t="inlineStr">
        <is>
          <t>111001100013</t>
        </is>
      </c>
      <c r="C26" s="2" t="inlineStr">
        <is>
          <t>COLEGIO BUENAVISTA (IED)</t>
        </is>
      </c>
      <c r="D26" s="2" t="inlineStr">
        <is>
          <t>JUAN JOSE COMEZAQUIRA REAY</t>
        </is>
      </c>
      <c r="E26" s="2" t="inlineStr">
        <is>
          <t>1024591713</t>
        </is>
      </c>
      <c r="F26" s="2" t="n">
        <v>3</v>
      </c>
      <c r="G26" s="2" t="n">
        <v>301</v>
      </c>
      <c r="H26" s="2" t="inlineStr">
        <is>
          <t>MATEMÁTICAS</t>
        </is>
      </c>
      <c r="I26" s="2" t="inlineStr">
        <is>
          <t>D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D</t>
        </is>
      </c>
      <c r="P26" s="4" t="inlineStr">
        <is>
          <t>INCORRECTO</t>
        </is>
      </c>
      <c r="Q26" s="2" t="inlineStr">
        <is>
          <t>C</t>
        </is>
      </c>
      <c r="R26" s="4" t="inlineStr">
        <is>
          <t>INCORRECTO</t>
        </is>
      </c>
      <c r="S26" s="2" t="inlineStr">
        <is>
          <t>B</t>
        </is>
      </c>
      <c r="T26" s="4" t="inlineStr">
        <is>
          <t>INCORRECTO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C</t>
        </is>
      </c>
      <c r="AB26" s="3" t="inlineStr">
        <is>
          <t>CORRECTO</t>
        </is>
      </c>
      <c r="AC26" s="2" t="inlineStr">
        <is>
          <t>D</t>
        </is>
      </c>
      <c r="AD26" s="3" t="inlineStr">
        <is>
          <t>CORRECTO</t>
        </is>
      </c>
      <c r="AE26" s="2" t="inlineStr">
        <is>
          <t>D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5">
        <f>COUNTIF(J26:AL26,"CORRECTO")</f>
        <v/>
      </c>
      <c r="AN26" s="5">
        <f>COUNTIF(J26:AL26,"INCORRECTO")</f>
        <v/>
      </c>
      <c r="AO26" s="5" t="n">
        <v>15</v>
      </c>
      <c r="AP26" s="6">
        <f>AM26/AO26</f>
        <v/>
      </c>
    </row>
    <row r="27">
      <c r="A27" s="2" t="inlineStr">
        <is>
          <t>TRATADO</t>
        </is>
      </c>
      <c r="B27" s="2" t="inlineStr">
        <is>
          <t>111001100013</t>
        </is>
      </c>
      <c r="C27" s="2" t="inlineStr">
        <is>
          <t>COLEGIO BUENAVISTA (IED)</t>
        </is>
      </c>
      <c r="D27" s="2" t="inlineStr">
        <is>
          <t>MARIA PAULA LEGUIZAMON BUSTOS</t>
        </is>
      </c>
      <c r="E27" s="2" t="inlineStr">
        <is>
          <t>1019767611</t>
        </is>
      </c>
      <c r="F27" s="2" t="n">
        <v>3</v>
      </c>
      <c r="G27" s="2" t="n">
        <v>301</v>
      </c>
      <c r="H27" s="2" t="inlineStr">
        <is>
          <t>MATEMÁTICAS</t>
        </is>
      </c>
      <c r="I27" s="2" t="inlineStr">
        <is>
          <t>D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C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C</t>
        </is>
      </c>
      <c r="Z27" s="3" t="inlineStr">
        <is>
          <t>CORRECTO</t>
        </is>
      </c>
      <c r="AA27" s="2" t="inlineStr">
        <is>
          <t>C</t>
        </is>
      </c>
      <c r="AB27" s="3" t="inlineStr">
        <is>
          <t>CORRECTO</t>
        </is>
      </c>
      <c r="AC27" s="2" t="inlineStr">
        <is>
          <t>D</t>
        </is>
      </c>
      <c r="AD27" s="3" t="inlineStr">
        <is>
          <t>CORRECTO</t>
        </is>
      </c>
      <c r="AE27" s="2" t="inlineStr">
        <is>
          <t>D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D</t>
        </is>
      </c>
      <c r="AJ27" s="3" t="inlineStr">
        <is>
          <t>CORRECTO</t>
        </is>
      </c>
      <c r="AK27" s="2" t="inlineStr">
        <is>
          <t>A</t>
        </is>
      </c>
      <c r="AL27" s="3" t="inlineStr">
        <is>
          <t>CORRECTO</t>
        </is>
      </c>
      <c r="AM27" s="5">
        <f>COUNTIF(J27:AL27,"CORRECTO")</f>
        <v/>
      </c>
      <c r="AN27" s="5">
        <f>COUNTIF(J27:AL27,"INCORRECTO")</f>
        <v/>
      </c>
      <c r="AO27" s="5" t="n">
        <v>15</v>
      </c>
      <c r="AP27" s="6">
        <f>AM27/AO27</f>
        <v/>
      </c>
    </row>
    <row r="28">
      <c r="A28" s="2" t="inlineStr">
        <is>
          <t>TRATADO</t>
        </is>
      </c>
      <c r="B28" s="2" t="inlineStr">
        <is>
          <t>111001100013</t>
        </is>
      </c>
      <c r="C28" s="2" t="inlineStr">
        <is>
          <t>COLEGIO BUENAVISTA (IED)</t>
        </is>
      </c>
      <c r="D28" s="2" t="inlineStr">
        <is>
          <t>EMMANUEL NICOLAS SALAMANCA NUÑEZ</t>
        </is>
      </c>
      <c r="E28" s="2" t="inlineStr">
        <is>
          <t>1024597564</t>
        </is>
      </c>
      <c r="F28" s="2" t="n">
        <v>3</v>
      </c>
      <c r="G28" s="2" t="n">
        <v>301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D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C</t>
        </is>
      </c>
      <c r="AB28" s="3" t="inlineStr">
        <is>
          <t>CORRECTO</t>
        </is>
      </c>
      <c r="AC28" s="2" t="inlineStr">
        <is>
          <t>D</t>
        </is>
      </c>
      <c r="AD28" s="3" t="inlineStr">
        <is>
          <t>CORRECTO</t>
        </is>
      </c>
      <c r="AE28" s="2" t="inlineStr">
        <is>
          <t>C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D</t>
        </is>
      </c>
      <c r="AJ28" s="3" t="inlineStr">
        <is>
          <t>CORRECTO</t>
        </is>
      </c>
      <c r="AK28" s="2" t="inlineStr">
        <is>
          <t>A</t>
        </is>
      </c>
      <c r="AL28" s="3" t="inlineStr">
        <is>
          <t>CORRECTO</t>
        </is>
      </c>
      <c r="AM28" s="5">
        <f>COUNTIF(J28:AL28,"CORRECTO")</f>
        <v/>
      </c>
      <c r="AN28" s="5">
        <f>COUNTIF(J28:AL28,"INCORRECTO")</f>
        <v/>
      </c>
      <c r="AO28" s="5" t="n">
        <v>15</v>
      </c>
      <c r="AP28" s="6">
        <f>AM28/AO28</f>
        <v/>
      </c>
    </row>
    <row r="29">
      <c r="A29" s="2" t="inlineStr">
        <is>
          <t>TRATADO</t>
        </is>
      </c>
      <c r="B29" s="2" t="inlineStr">
        <is>
          <t>111001100013</t>
        </is>
      </c>
      <c r="C29" s="2" t="inlineStr">
        <is>
          <t>COLEGIO BUENAVISTA (IED)</t>
        </is>
      </c>
      <c r="D29" s="2" t="inlineStr">
        <is>
          <t>SARAHI MAITE CUBILLOS VIRGUEZ</t>
        </is>
      </c>
      <c r="E29" s="2" t="inlineStr">
        <is>
          <t>1031184052</t>
        </is>
      </c>
      <c r="F29" s="2" t="n">
        <v>3</v>
      </c>
      <c r="G29" s="2" t="n">
        <v>301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4" t="inlineStr">
        <is>
          <t>INCORRECTO</t>
        </is>
      </c>
      <c r="W29" s="2" t="inlineStr"/>
      <c r="X29" s="4" t="inlineStr">
        <is>
          <t>INCORRECTO</t>
        </is>
      </c>
      <c r="Y29" s="2" t="inlineStr"/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/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D</t>
        </is>
      </c>
      <c r="AJ29" s="3" t="inlineStr">
        <is>
          <t>CORRECTO</t>
        </is>
      </c>
      <c r="AK29" s="2" t="inlineStr">
        <is>
          <t>D</t>
        </is>
      </c>
      <c r="AL29" s="4" t="inlineStr">
        <is>
          <t>INCORRECTO</t>
        </is>
      </c>
      <c r="AM29" s="5">
        <f>COUNTIF(J29:AL29,"CORRECTO")</f>
        <v/>
      </c>
      <c r="AN29" s="5">
        <f>COUNTIF(J29:AL29,"INCORRECTO")</f>
        <v/>
      </c>
      <c r="AO29" s="5" t="n">
        <v>15</v>
      </c>
      <c r="AP29" s="6">
        <f>AM29/AO29</f>
        <v/>
      </c>
    </row>
    <row r="30">
      <c r="A30" s="2" t="inlineStr">
        <is>
          <t>TRATADO</t>
        </is>
      </c>
      <c r="B30" s="2" t="inlineStr">
        <is>
          <t>111001100013</t>
        </is>
      </c>
      <c r="C30" s="2" t="inlineStr">
        <is>
          <t>COLEGIO BUENAVISTA (IED)</t>
        </is>
      </c>
      <c r="D30" s="2" t="inlineStr">
        <is>
          <t>MATIAS MORA HERNANDEZ</t>
        </is>
      </c>
      <c r="E30" s="2" t="inlineStr">
        <is>
          <t>1029154165</t>
        </is>
      </c>
      <c r="F30" s="2" t="n">
        <v>3</v>
      </c>
      <c r="G30" s="2" t="n">
        <v>301</v>
      </c>
      <c r="H30" s="2" t="inlineStr">
        <is>
          <t>MATEMÁTICAS</t>
        </is>
      </c>
      <c r="I30" s="2" t="inlineStr">
        <is>
          <t>D</t>
        </is>
      </c>
      <c r="J30" s="3" t="inlineStr">
        <is>
          <t>CORRECTO</t>
        </is>
      </c>
      <c r="K30" s="2" t="inlineStr">
        <is>
          <t>D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3" t="inlineStr">
        <is>
          <t>CORRECTO</t>
        </is>
      </c>
      <c r="AC30" s="2" t="inlineStr">
        <is>
          <t>D</t>
        </is>
      </c>
      <c r="AD30" s="3" t="inlineStr">
        <is>
          <t>CORRECTO</t>
        </is>
      </c>
      <c r="AE30" s="2" t="inlineStr">
        <is>
          <t>D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D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5">
        <f>COUNTIF(J30:AL30,"CORRECTO")</f>
        <v/>
      </c>
      <c r="AN30" s="5">
        <f>COUNTIF(J30:AL30,"INCORRECTO")</f>
        <v/>
      </c>
      <c r="AO30" s="5" t="n">
        <v>15</v>
      </c>
      <c r="AP30" s="6">
        <f>AM30/AO30</f>
        <v/>
      </c>
    </row>
    <row r="31">
      <c r="A31" s="2" t="inlineStr">
        <is>
          <t>TRATADO</t>
        </is>
      </c>
      <c r="B31" s="2" t="inlineStr">
        <is>
          <t>111001100013</t>
        </is>
      </c>
      <c r="C31" s="2" t="inlineStr">
        <is>
          <t>COLEGIO BUENAVISTA (IED)</t>
        </is>
      </c>
      <c r="D31" s="2" t="inlineStr">
        <is>
          <t>ZOHE MARIANA GIL PARRA</t>
        </is>
      </c>
      <c r="E31" s="2" t="inlineStr">
        <is>
          <t>1033812728</t>
        </is>
      </c>
      <c r="F31" s="2" t="n">
        <v>3</v>
      </c>
      <c r="G31" s="2" t="n">
        <v>301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A</t>
        </is>
      </c>
      <c r="T31" s="4" t="inlineStr">
        <is>
          <t>INCORRECTO</t>
        </is>
      </c>
      <c r="U31" s="2" t="inlineStr">
        <is>
          <t>D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B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D</t>
        </is>
      </c>
      <c r="AD31" s="3" t="inlineStr">
        <is>
          <t>CORRECTO</t>
        </is>
      </c>
      <c r="AE31" s="2" t="inlineStr">
        <is>
          <t>D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D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5">
        <f>COUNTIF(J31:AL31,"CORRECTO")</f>
        <v/>
      </c>
      <c r="AN31" s="5">
        <f>COUNTIF(J31:AL31,"INCORRECTO")</f>
        <v/>
      </c>
      <c r="AO31" s="5" t="n">
        <v>15</v>
      </c>
      <c r="AP31" s="6">
        <f>AM31/AO31</f>
        <v/>
      </c>
    </row>
    <row r="32">
      <c r="A32" s="2" t="inlineStr">
        <is>
          <t>TRATADO</t>
        </is>
      </c>
      <c r="B32" s="2" t="inlineStr">
        <is>
          <t>111001100013</t>
        </is>
      </c>
      <c r="C32" s="2" t="inlineStr">
        <is>
          <t>COLEGIO BUENAVISTA (IED)</t>
        </is>
      </c>
      <c r="D32" s="2" t="inlineStr">
        <is>
          <t>LAURA SHALOME ROJAS MENDOZA</t>
        </is>
      </c>
      <c r="E32" s="2" t="inlineStr">
        <is>
          <t>1027301667</t>
        </is>
      </c>
      <c r="F32" s="2" t="n">
        <v>3</v>
      </c>
      <c r="G32" s="2" t="n">
        <v>301</v>
      </c>
      <c r="H32" s="2" t="inlineStr">
        <is>
          <t>MATEMÁTICAS</t>
        </is>
      </c>
      <c r="I32" s="2" t="inlineStr">
        <is>
          <t>D</t>
        </is>
      </c>
      <c r="J32" s="3" t="inlineStr">
        <is>
          <t>CORRECTO</t>
        </is>
      </c>
      <c r="K32" s="2" t="inlineStr">
        <is>
          <t>D</t>
        </is>
      </c>
      <c r="L32" s="4" t="inlineStr">
        <is>
          <t>INCORRECTO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C</t>
        </is>
      </c>
      <c r="Z32" s="3" t="inlineStr">
        <is>
          <t>CORRECTO</t>
        </is>
      </c>
      <c r="AA32" s="2" t="inlineStr">
        <is>
          <t>D</t>
        </is>
      </c>
      <c r="AB32" s="4" t="inlineStr">
        <is>
          <t>INCORRECTO</t>
        </is>
      </c>
      <c r="AC32" s="2" t="inlineStr">
        <is>
          <t>D</t>
        </is>
      </c>
      <c r="AD32" s="3" t="inlineStr">
        <is>
          <t>CORRECTO</t>
        </is>
      </c>
      <c r="AE32" s="2" t="inlineStr">
        <is>
          <t>C</t>
        </is>
      </c>
      <c r="AF32" s="4" t="inlineStr">
        <is>
          <t>INCORRECTO</t>
        </is>
      </c>
      <c r="AG32" s="2" t="inlineStr">
        <is>
          <t>B</t>
        </is>
      </c>
      <c r="AH32" s="4" t="inlineStr">
        <is>
          <t>INCORRECTO</t>
        </is>
      </c>
      <c r="AI32" s="2" t="inlineStr">
        <is>
          <t>D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5">
        <f>COUNTIF(J32:AL32,"CORRECTO")</f>
        <v/>
      </c>
      <c r="AN32" s="5">
        <f>COUNTIF(J32:AL32,"INCORRECTO")</f>
        <v/>
      </c>
      <c r="AO32" s="5" t="n">
        <v>15</v>
      </c>
      <c r="AP32" s="6">
        <f>AM32/AO32</f>
        <v/>
      </c>
    </row>
    <row r="33">
      <c r="A33" s="2" t="inlineStr">
        <is>
          <t>TRATADO</t>
        </is>
      </c>
      <c r="B33" s="2" t="inlineStr">
        <is>
          <t>111001100013</t>
        </is>
      </c>
      <c r="C33" s="2" t="inlineStr">
        <is>
          <t>COLEGIO BUENAVISTA (IED)</t>
        </is>
      </c>
      <c r="D33" s="2" t="inlineStr">
        <is>
          <t>ANGEL MATHIAS ESPINEL GALEANO</t>
        </is>
      </c>
      <c r="E33" s="2" t="inlineStr">
        <is>
          <t>1025561218</t>
        </is>
      </c>
      <c r="F33" s="2" t="n">
        <v>3</v>
      </c>
      <c r="G33" s="2" t="n">
        <v>301</v>
      </c>
      <c r="H33" s="2" t="inlineStr">
        <is>
          <t>MATEMÁTICAS</t>
        </is>
      </c>
      <c r="I33" s="2" t="inlineStr">
        <is>
          <t>D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C</t>
        </is>
      </c>
      <c r="R33" s="4" t="inlineStr">
        <is>
          <t>INCORRECTO</t>
        </is>
      </c>
      <c r="S33" s="2" t="inlineStr">
        <is>
          <t>A</t>
        </is>
      </c>
      <c r="T33" s="4" t="inlineStr">
        <is>
          <t>INCORRECTO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C</t>
        </is>
      </c>
      <c r="AB33" s="3" t="inlineStr">
        <is>
          <t>CORRECTO</t>
        </is>
      </c>
      <c r="AC33" s="2" t="inlineStr">
        <is>
          <t>D</t>
        </is>
      </c>
      <c r="AD33" s="3" t="inlineStr">
        <is>
          <t>CORRECTO</t>
        </is>
      </c>
      <c r="AE33" s="2" t="inlineStr">
        <is>
          <t>D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D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5">
        <f>COUNTIF(J33:AL33,"CORRECTO")</f>
        <v/>
      </c>
      <c r="AN33" s="5">
        <f>COUNTIF(J33:AL33,"INCORRECTO")</f>
        <v/>
      </c>
      <c r="AO33" s="5" t="n">
        <v>15</v>
      </c>
      <c r="AP33" s="6">
        <f>AM33/AO33</f>
        <v/>
      </c>
    </row>
    <row r="34">
      <c r="A34" s="2" t="inlineStr">
        <is>
          <t>TRATADO</t>
        </is>
      </c>
      <c r="B34" s="2" t="inlineStr">
        <is>
          <t>111001100013</t>
        </is>
      </c>
      <c r="C34" s="2" t="inlineStr">
        <is>
          <t>COLEGIO BUENAVISTA (IED)</t>
        </is>
      </c>
      <c r="D34" s="2" t="inlineStr">
        <is>
          <t>DANNA VALENTINA SIERRA RAMIREZ</t>
        </is>
      </c>
      <c r="E34" s="2" t="inlineStr">
        <is>
          <t>1033821592</t>
        </is>
      </c>
      <c r="F34" s="2" t="n">
        <v>3</v>
      </c>
      <c r="G34" s="2" t="n">
        <v>301</v>
      </c>
      <c r="H34" s="2" t="inlineStr">
        <is>
          <t>MATEMÁTICAS</t>
        </is>
      </c>
      <c r="I34" s="2" t="inlineStr">
        <is>
          <t>D</t>
        </is>
      </c>
      <c r="J34" s="3" t="inlineStr">
        <is>
          <t>CORRECTO</t>
        </is>
      </c>
      <c r="K34" s="2" t="inlineStr">
        <is>
          <t>A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C</t>
        </is>
      </c>
      <c r="T34" s="3" t="inlineStr">
        <is>
          <t>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3" t="inlineStr">
        <is>
          <t>CORRECTO</t>
        </is>
      </c>
      <c r="Y34" s="2" t="inlineStr">
        <is>
          <t>C</t>
        </is>
      </c>
      <c r="Z34" s="3" t="inlineStr">
        <is>
          <t>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D</t>
        </is>
      </c>
      <c r="AD34" s="3" t="inlineStr">
        <is>
          <t>CORRECTO</t>
        </is>
      </c>
      <c r="AE34" s="2" t="inlineStr">
        <is>
          <t>D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3" t="inlineStr">
        <is>
          <t>CORRECTO</t>
        </is>
      </c>
      <c r="AK34" s="2" t="inlineStr">
        <is>
          <t>A</t>
        </is>
      </c>
      <c r="AL34" s="3" t="inlineStr">
        <is>
          <t>CORRECTO</t>
        </is>
      </c>
      <c r="AM34" s="5">
        <f>COUNTIF(J34:AL34,"CORRECTO")</f>
        <v/>
      </c>
      <c r="AN34" s="5">
        <f>COUNTIF(J34:AL34,"INCORRECTO")</f>
        <v/>
      </c>
      <c r="AO34" s="5" t="n">
        <v>15</v>
      </c>
      <c r="AP34" s="6">
        <f>AM34/AO34</f>
        <v/>
      </c>
    </row>
    <row r="35">
      <c r="A35" s="2" t="inlineStr">
        <is>
          <t>TRATADO</t>
        </is>
      </c>
      <c r="B35" s="2" t="inlineStr">
        <is>
          <t>111001100013</t>
        </is>
      </c>
      <c r="C35" s="2" t="inlineStr">
        <is>
          <t>COLEGIO BUENAVISTA (IED)</t>
        </is>
      </c>
      <c r="D35" s="2" t="inlineStr">
        <is>
          <t>HELLEN SARAY ROJAS CUPITRA</t>
        </is>
      </c>
      <c r="E35" s="2" t="inlineStr">
        <is>
          <t>1027301172</t>
        </is>
      </c>
      <c r="F35" s="2" t="n">
        <v>3</v>
      </c>
      <c r="G35" s="2" t="n">
        <v>301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D</t>
        </is>
      </c>
      <c r="X35" s="3" t="inlineStr">
        <is>
          <t>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C</t>
        </is>
      </c>
      <c r="AB35" s="3" t="inlineStr">
        <is>
          <t>CORRECTO</t>
        </is>
      </c>
      <c r="AC35" s="2" t="inlineStr">
        <is>
          <t>D</t>
        </is>
      </c>
      <c r="AD35" s="3" t="inlineStr">
        <is>
          <t>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3" t="inlineStr">
        <is>
          <t>CORRECTO</t>
        </is>
      </c>
      <c r="AI35" s="2" t="inlineStr">
        <is>
          <t>D</t>
        </is>
      </c>
      <c r="AJ35" s="3" t="inlineStr">
        <is>
          <t>CORRECTO</t>
        </is>
      </c>
      <c r="AK35" s="2" t="inlineStr">
        <is>
          <t>B</t>
        </is>
      </c>
      <c r="AL35" s="4" t="inlineStr">
        <is>
          <t>INCORRECTO</t>
        </is>
      </c>
      <c r="AM35" s="5">
        <f>COUNTIF(J35:AL35,"CORRECTO")</f>
        <v/>
      </c>
      <c r="AN35" s="5">
        <f>COUNTIF(J35:AL35,"INCORRECTO")</f>
        <v/>
      </c>
      <c r="AO35" s="5" t="n">
        <v>15</v>
      </c>
      <c r="AP35" s="6">
        <f>AM35/AO35</f>
        <v/>
      </c>
    </row>
    <row r="36">
      <c r="A36" s="2" t="inlineStr">
        <is>
          <t>TRATADO</t>
        </is>
      </c>
      <c r="B36" s="2" t="inlineStr">
        <is>
          <t>111001100013</t>
        </is>
      </c>
      <c r="C36" s="2" t="inlineStr">
        <is>
          <t>COLEGIO BUENAVISTA (IED)</t>
        </is>
      </c>
      <c r="D36" s="2" t="inlineStr">
        <is>
          <t>EILEM SARAY PEÑA OYOLA</t>
        </is>
      </c>
      <c r="E36" s="2" t="inlineStr">
        <is>
          <t>1075600912</t>
        </is>
      </c>
      <c r="F36" s="2" t="n">
        <v>3</v>
      </c>
      <c r="G36" s="2" t="n">
        <v>301</v>
      </c>
      <c r="H36" s="2" t="inlineStr">
        <is>
          <t>MATEMÁTICAS</t>
        </is>
      </c>
      <c r="I36" s="2" t="inlineStr">
        <is>
          <t>D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C</t>
        </is>
      </c>
      <c r="V36" s="4" t="inlineStr">
        <is>
          <t>INCORRECTO</t>
        </is>
      </c>
      <c r="W36" s="2" t="inlineStr"/>
      <c r="X36" s="4" t="inlineStr">
        <is>
          <t>INCORRECTO</t>
        </is>
      </c>
      <c r="Y36" s="2" t="inlineStr"/>
      <c r="Z36" s="4" t="inlineStr">
        <is>
          <t>INCORRECTO</t>
        </is>
      </c>
      <c r="AA36" s="2" t="inlineStr"/>
      <c r="AB36" s="4" t="inlineStr">
        <is>
          <t>INCORRECTO</t>
        </is>
      </c>
      <c r="AC36" s="2" t="inlineStr"/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3" t="inlineStr">
        <is>
          <t>CORRECTO</t>
        </is>
      </c>
      <c r="AK36" s="2" t="inlineStr">
        <is>
          <t>A</t>
        </is>
      </c>
      <c r="AL36" s="3" t="inlineStr">
        <is>
          <t>CORRECTO</t>
        </is>
      </c>
      <c r="AM36" s="5">
        <f>COUNTIF(J36:AL36,"CORRECTO")</f>
        <v/>
      </c>
      <c r="AN36" s="5">
        <f>COUNTIF(J36:AL36,"INCORRECTO")</f>
        <v/>
      </c>
      <c r="AO36" s="5" t="n">
        <v>15</v>
      </c>
      <c r="AP36" s="6">
        <f>AM36/AO36</f>
        <v/>
      </c>
    </row>
    <row r="37">
      <c r="A37" s="2" t="inlineStr">
        <is>
          <t>TRATADO</t>
        </is>
      </c>
      <c r="B37" s="2" t="inlineStr">
        <is>
          <t>111001100013</t>
        </is>
      </c>
      <c r="C37" s="2" t="inlineStr">
        <is>
          <t>COLEGIO BUENAVISTA (IED)</t>
        </is>
      </c>
      <c r="D37" s="2" t="inlineStr">
        <is>
          <t>THIAGO ALEJANDRO GARCIA CASTAÑO</t>
        </is>
      </c>
      <c r="E37" s="2" t="inlineStr">
        <is>
          <t>1027538151</t>
        </is>
      </c>
      <c r="F37" s="2" t="n">
        <v>3</v>
      </c>
      <c r="G37" s="2" t="n">
        <v>301</v>
      </c>
      <c r="H37" s="2" t="inlineStr">
        <is>
          <t>MATEMÁTICAS</t>
        </is>
      </c>
      <c r="I37" s="2" t="inlineStr">
        <is>
          <t>D</t>
        </is>
      </c>
      <c r="J37" s="3" t="inlineStr">
        <is>
          <t>CORRECTO</t>
        </is>
      </c>
      <c r="K37" s="2" t="inlineStr">
        <is>
          <t>B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4" t="inlineStr">
        <is>
          <t>INCORRECTO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A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D</t>
        </is>
      </c>
      <c r="AD37" s="3" t="inlineStr">
        <is>
          <t>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D</t>
        </is>
      </c>
      <c r="AJ37" s="3" t="inlineStr">
        <is>
          <t>CORRECTO</t>
        </is>
      </c>
      <c r="AK37" s="2" t="inlineStr">
        <is>
          <t>A</t>
        </is>
      </c>
      <c r="AL37" s="3" t="inlineStr">
        <is>
          <t>CORRECTO</t>
        </is>
      </c>
      <c r="AM37" s="5">
        <f>COUNTIF(J37:AL37,"CORRECTO")</f>
        <v/>
      </c>
      <c r="AN37" s="5">
        <f>COUNTIF(J37:AL37,"INCORRECTO")</f>
        <v/>
      </c>
      <c r="AO37" s="5" t="n">
        <v>15</v>
      </c>
      <c r="AP37" s="6">
        <f>AM37/AO37</f>
        <v/>
      </c>
    </row>
    <row r="38">
      <c r="A38" s="2" t="inlineStr">
        <is>
          <t>TRATADO</t>
        </is>
      </c>
      <c r="B38" s="2" t="inlineStr">
        <is>
          <t>111001100013</t>
        </is>
      </c>
      <c r="C38" s="2" t="inlineStr">
        <is>
          <t>COLEGIO BUENAVISTA (IED)</t>
        </is>
      </c>
      <c r="D38" s="2" t="inlineStr">
        <is>
          <t>NICOLAS DAVID GOMEZ PACHECO</t>
        </is>
      </c>
      <c r="E38" s="2" t="inlineStr">
        <is>
          <t>1025562445</t>
        </is>
      </c>
      <c r="F38" s="2" t="n">
        <v>3</v>
      </c>
      <c r="G38" s="2" t="n">
        <v>301</v>
      </c>
      <c r="H38" s="2" t="inlineStr">
        <is>
          <t>MATEMÁTICAS</t>
        </is>
      </c>
      <c r="I38" s="2" t="inlineStr">
        <is>
          <t>D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D</t>
        </is>
      </c>
      <c r="AD38" s="3" t="inlineStr">
        <is>
          <t>CORRECTO</t>
        </is>
      </c>
      <c r="AE38" s="2" t="inlineStr">
        <is>
          <t>C</t>
        </is>
      </c>
      <c r="AF38" s="4" t="inlineStr">
        <is>
          <t>INCORRECTO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3" t="inlineStr">
        <is>
          <t>CORRECTO</t>
        </is>
      </c>
      <c r="AK38" s="2" t="inlineStr">
        <is>
          <t>B</t>
        </is>
      </c>
      <c r="AL38" s="4" t="inlineStr">
        <is>
          <t>INCORRECTO</t>
        </is>
      </c>
      <c r="AM38" s="5">
        <f>COUNTIF(J38:AL38,"CORRECTO")</f>
        <v/>
      </c>
      <c r="AN38" s="5">
        <f>COUNTIF(J38:AL38,"INCORRECTO")</f>
        <v/>
      </c>
      <c r="AO38" s="5" t="n">
        <v>15</v>
      </c>
      <c r="AP38" s="6">
        <f>AM38/AO38</f>
        <v/>
      </c>
    </row>
    <row r="39">
      <c r="A39" s="2" t="inlineStr">
        <is>
          <t>TRATADO</t>
        </is>
      </c>
      <c r="B39" s="2" t="inlineStr">
        <is>
          <t>111001100013</t>
        </is>
      </c>
      <c r="C39" s="2" t="inlineStr">
        <is>
          <t>COLEGIO BUENAVISTA (IED)</t>
        </is>
      </c>
      <c r="D39" s="2" t="inlineStr">
        <is>
          <t>SAMUEL MATHIAS BEJARANO BERNAL</t>
        </is>
      </c>
      <c r="E39" s="2" t="inlineStr">
        <is>
          <t>1023040531</t>
        </is>
      </c>
      <c r="F39" s="2" t="n">
        <v>3</v>
      </c>
      <c r="G39" s="2" t="n">
        <v>301</v>
      </c>
      <c r="H39" s="2" t="inlineStr">
        <is>
          <t>MATEMÁTICAS</t>
        </is>
      </c>
      <c r="I39" s="2" t="inlineStr">
        <is>
          <t>D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/>
      <c r="V39" s="4" t="inlineStr">
        <is>
          <t>INCORRECTO</t>
        </is>
      </c>
      <c r="W39" s="2" t="inlineStr">
        <is>
          <t>D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D</t>
        </is>
      </c>
      <c r="AB39" s="4" t="inlineStr">
        <is>
          <t>INCORRECTO</t>
        </is>
      </c>
      <c r="AC39" s="2" t="inlineStr">
        <is>
          <t>D</t>
        </is>
      </c>
      <c r="AD39" s="3" t="inlineStr">
        <is>
          <t>CORRECTO</t>
        </is>
      </c>
      <c r="AE39" s="2" t="inlineStr">
        <is>
          <t>C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5">
        <f>COUNTIF(J39:AL39,"CORRECTO")</f>
        <v/>
      </c>
      <c r="AN39" s="5">
        <f>COUNTIF(J39:AL39,"INCORRECTO")</f>
        <v/>
      </c>
      <c r="AO39" s="5" t="n">
        <v>15</v>
      </c>
      <c r="AP39" s="6">
        <f>AM39/AO39</f>
        <v/>
      </c>
    </row>
    <row r="40">
      <c r="A40" s="2" t="inlineStr">
        <is>
          <t>TRATADO</t>
        </is>
      </c>
      <c r="B40" s="2" t="inlineStr">
        <is>
          <t>111001100013</t>
        </is>
      </c>
      <c r="C40" s="2" t="inlineStr">
        <is>
          <t>COLEGIO BUENAVISTA (IED)</t>
        </is>
      </c>
      <c r="D40" s="2" t="inlineStr">
        <is>
          <t>DERIAN NIKOLAY ARMERO GUISA</t>
        </is>
      </c>
      <c r="E40" s="2" t="inlineStr">
        <is>
          <t>1033817466</t>
        </is>
      </c>
      <c r="F40" s="2" t="n">
        <v>3</v>
      </c>
      <c r="G40" s="2" t="n">
        <v>301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C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C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B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C</t>
        </is>
      </c>
      <c r="AD40" s="3" t="inlineStr">
        <is>
          <t>CORRECTO</t>
        </is>
      </c>
      <c r="AE40" s="2" t="inlineStr">
        <is>
          <t>B</t>
        </is>
      </c>
      <c r="AF40" s="3" t="inlineStr">
        <is>
          <t>CORRECTO</t>
        </is>
      </c>
      <c r="AG40" s="2" t="inlineStr"/>
      <c r="AH40" s="4" t="inlineStr">
        <is>
          <t>INCORRECTO</t>
        </is>
      </c>
      <c r="AI40" s="2" t="inlineStr"/>
      <c r="AJ40" s="4" t="inlineStr">
        <is>
          <t>INCORRECTO</t>
        </is>
      </c>
      <c r="AK40" s="2" t="inlineStr">
        <is>
          <t>A</t>
        </is>
      </c>
      <c r="AL40" s="3" t="inlineStr">
        <is>
          <t>CORRECTO</t>
        </is>
      </c>
      <c r="AM40" s="5">
        <f>COUNTIF(J40:AL40,"CORRECTO")</f>
        <v/>
      </c>
      <c r="AN40" s="5">
        <f>COUNTIF(J40:AL40,"INCORRECTO")</f>
        <v/>
      </c>
      <c r="AO40" s="5" t="n">
        <v>15</v>
      </c>
      <c r="AP40" s="6">
        <f>AM40/AO40</f>
        <v/>
      </c>
    </row>
    <row r="41">
      <c r="A41" s="2" t="inlineStr">
        <is>
          <t>TRATADO</t>
        </is>
      </c>
      <c r="B41" s="2" t="inlineStr">
        <is>
          <t>111001100013</t>
        </is>
      </c>
      <c r="C41" s="2" t="inlineStr">
        <is>
          <t>COLEGIO BUENAVISTA (IED)</t>
        </is>
      </c>
      <c r="D41" s="2" t="inlineStr">
        <is>
          <t>NIÑO URBANO JOSEPH NATHAN</t>
        </is>
      </c>
      <c r="E41" s="2" t="inlineStr">
        <is>
          <t>1025567264</t>
        </is>
      </c>
      <c r="F41" s="2" t="n">
        <v>3</v>
      </c>
      <c r="G41" s="2" t="n">
        <v>301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C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B</t>
        </is>
      </c>
      <c r="AF41" s="3" t="inlineStr">
        <is>
          <t>CORRECTO</t>
        </is>
      </c>
      <c r="AG41" s="2" t="inlineStr">
        <is>
          <t>A</t>
        </is>
      </c>
      <c r="AH41" s="3" t="inlineStr">
        <is>
          <t>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5">
        <f>COUNTIF(J41:AL41,"CORRECTO")</f>
        <v/>
      </c>
      <c r="AN41" s="5">
        <f>COUNTIF(J41:AL41,"INCORRECTO")</f>
        <v/>
      </c>
      <c r="AO41" s="5" t="n">
        <v>15</v>
      </c>
      <c r="AP41" s="6">
        <f>AM41/AO41</f>
        <v/>
      </c>
    </row>
    <row r="42">
      <c r="A42" s="2" t="inlineStr">
        <is>
          <t>TRATADO</t>
        </is>
      </c>
      <c r="B42" s="2" t="inlineStr">
        <is>
          <t>111001100013</t>
        </is>
      </c>
      <c r="C42" s="2" t="inlineStr">
        <is>
          <t>COLEGIO BUENAVISTA (IED)</t>
        </is>
      </c>
      <c r="D42" s="2" t="inlineStr">
        <is>
          <t>DULCE NAHOMY CESPEDES TOVAR</t>
        </is>
      </c>
      <c r="E42" s="2" t="inlineStr">
        <is>
          <t>1033815532</t>
        </is>
      </c>
      <c r="F42" s="2" t="n">
        <v>3</v>
      </c>
      <c r="G42" s="2" t="n">
        <v>301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B</t>
        </is>
      </c>
      <c r="L42" s="3" t="inlineStr">
        <is>
          <t>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C</t>
        </is>
      </c>
      <c r="P42" s="3" t="inlineStr">
        <is>
          <t>CORRECTO</t>
        </is>
      </c>
      <c r="Q42" s="2" t="inlineStr">
        <is>
          <t>C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B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D</t>
        </is>
      </c>
      <c r="AF42" s="4" t="inlineStr">
        <is>
          <t>INCORRECTO</t>
        </is>
      </c>
      <c r="AG42" s="2" t="inlineStr">
        <is>
          <t>D</t>
        </is>
      </c>
      <c r="AH42" s="4" t="inlineStr">
        <is>
          <t>INCORRECTO</t>
        </is>
      </c>
      <c r="AI42" s="2" t="inlineStr">
        <is>
          <t>D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5">
        <f>COUNTIF(J42:AL42,"CORRECTO")</f>
        <v/>
      </c>
      <c r="AN42" s="5">
        <f>COUNTIF(J42:AL42,"INCORRECTO")</f>
        <v/>
      </c>
      <c r="AO42" s="5" t="n">
        <v>15</v>
      </c>
      <c r="AP42" s="6">
        <f>AM42/AO42</f>
        <v/>
      </c>
    </row>
    <row r="43">
      <c r="A43" s="2" t="inlineStr">
        <is>
          <t>TRATADO</t>
        </is>
      </c>
      <c r="B43" s="2" t="inlineStr">
        <is>
          <t>111001100013</t>
        </is>
      </c>
      <c r="C43" s="2" t="inlineStr">
        <is>
          <t>COLEGIO BUENAVISTA (IED)</t>
        </is>
      </c>
      <c r="D43" s="2" t="inlineStr">
        <is>
          <t>SARA MALENA CASTRO SALAS</t>
        </is>
      </c>
      <c r="E43" s="2" t="inlineStr">
        <is>
          <t>1033822295</t>
        </is>
      </c>
      <c r="F43" s="2" t="n">
        <v>3</v>
      </c>
      <c r="G43" s="2" t="n">
        <v>301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C</t>
        </is>
      </c>
      <c r="P43" s="3" t="inlineStr">
        <is>
          <t>CORRECTO</t>
        </is>
      </c>
      <c r="Q43" s="2" t="inlineStr">
        <is>
          <t>C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D</t>
        </is>
      </c>
      <c r="AH43" s="4" t="inlineStr">
        <is>
          <t>INCORRECTO</t>
        </is>
      </c>
      <c r="AI43" s="2" t="inlineStr">
        <is>
          <t>D</t>
        </is>
      </c>
      <c r="AJ43" s="4" t="inlineStr">
        <is>
          <t>INCORRECTO</t>
        </is>
      </c>
      <c r="AK43" s="2" t="inlineStr">
        <is>
          <t>B</t>
        </is>
      </c>
      <c r="AL43" s="4" t="inlineStr">
        <is>
          <t>INCORRECTO</t>
        </is>
      </c>
      <c r="AM43" s="5">
        <f>COUNTIF(J43:AL43,"CORRECTO")</f>
        <v/>
      </c>
      <c r="AN43" s="5">
        <f>COUNTIF(J43:AL43,"INCORRECTO")</f>
        <v/>
      </c>
      <c r="AO43" s="5" t="n">
        <v>15</v>
      </c>
      <c r="AP43" s="6">
        <f>AM43/AO43</f>
        <v/>
      </c>
    </row>
    <row r="44">
      <c r="A44" s="2" t="inlineStr">
        <is>
          <t>TRATADO</t>
        </is>
      </c>
      <c r="B44" s="2" t="inlineStr">
        <is>
          <t>111001100013</t>
        </is>
      </c>
      <c r="C44" s="2" t="inlineStr">
        <is>
          <t>COLEGIO BUENAVISTA (IED)</t>
        </is>
      </c>
      <c r="D44" s="2" t="inlineStr">
        <is>
          <t>MARIAM CAMILA PADILLA BRITO</t>
        </is>
      </c>
      <c r="E44" s="2" t="inlineStr">
        <is>
          <t>1029296853</t>
        </is>
      </c>
      <c r="F44" s="2" t="n">
        <v>3</v>
      </c>
      <c r="G44" s="2" t="n">
        <v>301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3" t="inlineStr">
        <is>
          <t>CORRECTO</t>
        </is>
      </c>
      <c r="Q44" s="2" t="inlineStr">
        <is>
          <t>A</t>
        </is>
      </c>
      <c r="R44" s="4" t="inlineStr">
        <is>
          <t>INCORRECTO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B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C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D</t>
        </is>
      </c>
      <c r="AL44" s="4" t="inlineStr">
        <is>
          <t>INCORRECTO</t>
        </is>
      </c>
      <c r="AM44" s="5">
        <f>COUNTIF(J44:AL44,"CORRECTO")</f>
        <v/>
      </c>
      <c r="AN44" s="5">
        <f>COUNTIF(J44:AL44,"INCORRECTO")</f>
        <v/>
      </c>
      <c r="AO44" s="5" t="n">
        <v>15</v>
      </c>
      <c r="AP44" s="6">
        <f>AM44/AO44</f>
        <v/>
      </c>
    </row>
    <row r="45">
      <c r="A45" s="2" t="inlineStr">
        <is>
          <t>TRATADO</t>
        </is>
      </c>
      <c r="B45" s="2" t="inlineStr">
        <is>
          <t>111001100013</t>
        </is>
      </c>
      <c r="C45" s="2" t="inlineStr">
        <is>
          <t>COLEGIO BUENAVISTA (IED)</t>
        </is>
      </c>
      <c r="D45" s="2" t="inlineStr">
        <is>
          <t>DANNA VALENTINA RODRIGUEZ CONTRERAS</t>
        </is>
      </c>
      <c r="E45" s="2" t="inlineStr">
        <is>
          <t>1033807350</t>
        </is>
      </c>
      <c r="F45" s="2" t="n">
        <v>3</v>
      </c>
      <c r="G45" s="2" t="n">
        <v>301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C</t>
        </is>
      </c>
      <c r="P45" s="3" t="inlineStr">
        <is>
          <t>CORRECTO</t>
        </is>
      </c>
      <c r="Q45" s="2" t="inlineStr">
        <is>
          <t>C</t>
        </is>
      </c>
      <c r="R45" s="3" t="inlineStr">
        <is>
          <t>CORRECTO</t>
        </is>
      </c>
      <c r="S45" s="2" t="inlineStr">
        <is>
          <t>B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3" t="inlineStr">
        <is>
          <t>CORRECTO</t>
        </is>
      </c>
      <c r="AI45" s="2" t="inlineStr">
        <is>
          <t>A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5">
        <f>COUNTIF(J45:AL45,"CORRECTO")</f>
        <v/>
      </c>
      <c r="AN45" s="5">
        <f>COUNTIF(J45:AL45,"INCORRECTO")</f>
        <v/>
      </c>
      <c r="AO45" s="5" t="n">
        <v>15</v>
      </c>
      <c r="AP45" s="6">
        <f>AM45/AO45</f>
        <v/>
      </c>
    </row>
    <row r="46">
      <c r="A46" s="2" t="inlineStr">
        <is>
          <t>TRATADO</t>
        </is>
      </c>
      <c r="B46" s="2" t="inlineStr">
        <is>
          <t>111001100013</t>
        </is>
      </c>
      <c r="C46" s="2" t="inlineStr">
        <is>
          <t>COLEGIO BUENAVISTA (IED)</t>
        </is>
      </c>
      <c r="D46" s="2" t="inlineStr">
        <is>
          <t>ASHLEY NICOLE GALLEGO RODRIGUEZ</t>
        </is>
      </c>
      <c r="E46" s="2" t="inlineStr">
        <is>
          <t>1025560897</t>
        </is>
      </c>
      <c r="F46" s="2" t="n">
        <v>3</v>
      </c>
      <c r="G46" s="2" t="n">
        <v>301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3" t="inlineStr">
        <is>
          <t>CORRECTO</t>
        </is>
      </c>
      <c r="Q46" s="2" t="inlineStr">
        <is>
          <t>C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B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A</t>
        </is>
      </c>
      <c r="AH46" s="3" t="inlineStr">
        <is>
          <t>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A</t>
        </is>
      </c>
      <c r="AL46" s="3" t="inlineStr">
        <is>
          <t>CORRECTO</t>
        </is>
      </c>
      <c r="AM46" s="5">
        <f>COUNTIF(J46:AL46,"CORRECTO")</f>
        <v/>
      </c>
      <c r="AN46" s="5">
        <f>COUNTIF(J46:AL46,"INCORRECTO")</f>
        <v/>
      </c>
      <c r="AO46" s="5" t="n">
        <v>15</v>
      </c>
      <c r="AP46" s="6">
        <f>AM46/AO46</f>
        <v/>
      </c>
    </row>
    <row r="47">
      <c r="A47" s="2" t="inlineStr">
        <is>
          <t>TRATADO</t>
        </is>
      </c>
      <c r="B47" s="2" t="inlineStr">
        <is>
          <t>111001100013</t>
        </is>
      </c>
      <c r="C47" s="2" t="inlineStr">
        <is>
          <t>COLEGIO BUENAVISTA (IED)</t>
        </is>
      </c>
      <c r="D47" s="2" t="inlineStr">
        <is>
          <t>EMILY JULIANA RIOS REYES</t>
        </is>
      </c>
      <c r="E47" s="2" t="inlineStr">
        <is>
          <t>1023412436</t>
        </is>
      </c>
      <c r="F47" s="2" t="n">
        <v>3</v>
      </c>
      <c r="G47" s="2" t="n">
        <v>301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B</t>
        </is>
      </c>
      <c r="N47" s="3" t="inlineStr">
        <is>
          <t>CORRECTO</t>
        </is>
      </c>
      <c r="O47" s="2" t="inlineStr">
        <is>
          <t>C</t>
        </is>
      </c>
      <c r="P47" s="3" t="inlineStr">
        <is>
          <t>CORRECTO</t>
        </is>
      </c>
      <c r="Q47" s="2" t="inlineStr">
        <is>
          <t>C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C</t>
        </is>
      </c>
      <c r="X47" s="3" t="inlineStr">
        <is>
          <t>CORRECTO</t>
        </is>
      </c>
      <c r="Y47" s="2" t="inlineStr">
        <is>
          <t>B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A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A</t>
        </is>
      </c>
      <c r="AL47" s="3" t="inlineStr">
        <is>
          <t>CORRECTO</t>
        </is>
      </c>
      <c r="AM47" s="5">
        <f>COUNTIF(J47:AL47,"CORRECTO")</f>
        <v/>
      </c>
      <c r="AN47" s="5">
        <f>COUNTIF(J47:AL47,"INCORRECTO")</f>
        <v/>
      </c>
      <c r="AO47" s="5" t="n">
        <v>15</v>
      </c>
      <c r="AP47" s="6">
        <f>AM47/AO47</f>
        <v/>
      </c>
    </row>
    <row r="48">
      <c r="A48" s="2" t="inlineStr">
        <is>
          <t>TRATADO</t>
        </is>
      </c>
      <c r="B48" s="2" t="inlineStr">
        <is>
          <t>111001100013</t>
        </is>
      </c>
      <c r="C48" s="2" t="inlineStr">
        <is>
          <t>COLEGIO BUENAVISTA (IED)</t>
        </is>
      </c>
      <c r="D48" s="2" t="inlineStr">
        <is>
          <t>ANTHONY MATIAS HIGUITA TORRES</t>
        </is>
      </c>
      <c r="E48" s="2" t="inlineStr">
        <is>
          <t>1023039571</t>
        </is>
      </c>
      <c r="F48" s="2" t="n">
        <v>3</v>
      </c>
      <c r="G48" s="2" t="n">
        <v>301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B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C</t>
        </is>
      </c>
      <c r="P48" s="3" t="inlineStr">
        <is>
          <t>CORRECTO</t>
        </is>
      </c>
      <c r="Q48" s="2" t="inlineStr">
        <is>
          <t>C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C</t>
        </is>
      </c>
      <c r="AB48" s="3" t="inlineStr">
        <is>
          <t>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A</t>
        </is>
      </c>
      <c r="AH48" s="3" t="inlineStr">
        <is>
          <t>CORRECTO</t>
        </is>
      </c>
      <c r="AI48" s="2" t="inlineStr">
        <is>
          <t>B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5">
        <f>COUNTIF(J48:AL48,"CORRECTO")</f>
        <v/>
      </c>
      <c r="AN48" s="5">
        <f>COUNTIF(J48:AL48,"INCORRECTO")</f>
        <v/>
      </c>
      <c r="AO48" s="5" t="n">
        <v>15</v>
      </c>
      <c r="AP48" s="6">
        <f>AM48/AO48</f>
        <v/>
      </c>
    </row>
    <row r="49">
      <c r="A49" s="2" t="inlineStr">
        <is>
          <t>TRATADO</t>
        </is>
      </c>
      <c r="B49" s="2" t="inlineStr">
        <is>
          <t>111001100013</t>
        </is>
      </c>
      <c r="C49" s="2" t="inlineStr">
        <is>
          <t>COLEGIO BUENAVISTA (IED)</t>
        </is>
      </c>
      <c r="D49" s="2" t="inlineStr">
        <is>
          <t>JOSEPH MATIAS RINCON ZAPATA</t>
        </is>
      </c>
      <c r="E49" s="2" t="inlineStr">
        <is>
          <t>1011250867</t>
        </is>
      </c>
      <c r="F49" s="2" t="n">
        <v>3</v>
      </c>
      <c r="G49" s="2" t="n">
        <v>301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B</t>
        </is>
      </c>
      <c r="N49" s="3" t="inlineStr">
        <is>
          <t>CORRECTO</t>
        </is>
      </c>
      <c r="O49" s="2" t="inlineStr">
        <is>
          <t>C</t>
        </is>
      </c>
      <c r="P49" s="3" t="inlineStr">
        <is>
          <t>CORRECTO</t>
        </is>
      </c>
      <c r="Q49" s="2" t="inlineStr">
        <is>
          <t>C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B</t>
        </is>
      </c>
      <c r="Z49" s="3" t="inlineStr">
        <is>
          <t>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C</t>
        </is>
      </c>
      <c r="AD49" s="3" t="inlineStr">
        <is>
          <t>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A</t>
        </is>
      </c>
      <c r="AH49" s="3" t="inlineStr">
        <is>
          <t>CORRECTO</t>
        </is>
      </c>
      <c r="AI49" s="2" t="inlineStr"/>
      <c r="AJ49" s="4" t="inlineStr">
        <is>
          <t>INCORRECTO</t>
        </is>
      </c>
      <c r="AK49" s="2" t="inlineStr">
        <is>
          <t>A</t>
        </is>
      </c>
      <c r="AL49" s="3" t="inlineStr">
        <is>
          <t>CORRECTO</t>
        </is>
      </c>
      <c r="AM49" s="5">
        <f>COUNTIF(J49:AL49,"CORRECTO")</f>
        <v/>
      </c>
      <c r="AN49" s="5">
        <f>COUNTIF(J49:AL49,"INCORRECTO")</f>
        <v/>
      </c>
      <c r="AO49" s="5" t="n">
        <v>15</v>
      </c>
      <c r="AP49" s="6">
        <f>AM49/AO49</f>
        <v/>
      </c>
    </row>
    <row r="50">
      <c r="A50" s="2" t="inlineStr">
        <is>
          <t>TRATADO</t>
        </is>
      </c>
      <c r="B50" s="2" t="inlineStr">
        <is>
          <t>111001100013</t>
        </is>
      </c>
      <c r="C50" s="2" t="inlineStr">
        <is>
          <t>COLEGIO BUENAVISTA (IED)</t>
        </is>
      </c>
      <c r="D50" s="2" t="inlineStr">
        <is>
          <t>LINDSEY MARIANA LARA MORALES</t>
        </is>
      </c>
      <c r="E50" s="2" t="inlineStr">
        <is>
          <t>1033815514</t>
        </is>
      </c>
      <c r="F50" s="2" t="n">
        <v>3</v>
      </c>
      <c r="G50" s="2" t="n">
        <v>301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C</t>
        </is>
      </c>
      <c r="P50" s="3" t="inlineStr">
        <is>
          <t>CORRECTO</t>
        </is>
      </c>
      <c r="Q50" s="2" t="inlineStr">
        <is>
          <t>C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B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D</t>
        </is>
      </c>
      <c r="AF50" s="4" t="inlineStr">
        <is>
          <t>INCORRECTO</t>
        </is>
      </c>
      <c r="AG50" s="2" t="inlineStr">
        <is>
          <t>A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4" t="inlineStr">
        <is>
          <t>INCORRECTO</t>
        </is>
      </c>
      <c r="AM50" s="5">
        <f>COUNTIF(J50:AL50,"CORRECTO")</f>
        <v/>
      </c>
      <c r="AN50" s="5">
        <f>COUNTIF(J50:AL50,"INCORRECTO")</f>
        <v/>
      </c>
      <c r="AO50" s="5" t="n">
        <v>15</v>
      </c>
      <c r="AP50" s="6">
        <f>AM50/AO50</f>
        <v/>
      </c>
    </row>
    <row r="51">
      <c r="A51" s="2" t="inlineStr">
        <is>
          <t>TRATADO</t>
        </is>
      </c>
      <c r="B51" s="2" t="inlineStr">
        <is>
          <t>111001100013</t>
        </is>
      </c>
      <c r="C51" s="2" t="inlineStr">
        <is>
          <t>COLEGIO BUENAVISTA (IED)</t>
        </is>
      </c>
      <c r="D51" s="2" t="inlineStr">
        <is>
          <t>AILEN LUCIANA PINEDA VELASQUEZ</t>
        </is>
      </c>
      <c r="E51" s="2" t="inlineStr">
        <is>
          <t>1025560702</t>
        </is>
      </c>
      <c r="F51" s="2" t="n">
        <v>3</v>
      </c>
      <c r="G51" s="2" t="n">
        <v>301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B</t>
        </is>
      </c>
      <c r="N51" s="3" t="inlineStr">
        <is>
          <t>CORRECTO</t>
        </is>
      </c>
      <c r="O51" s="2" t="inlineStr">
        <is>
          <t>C</t>
        </is>
      </c>
      <c r="P51" s="3" t="inlineStr">
        <is>
          <t>CORRECTO</t>
        </is>
      </c>
      <c r="Q51" s="2" t="inlineStr">
        <is>
          <t>C</t>
        </is>
      </c>
      <c r="R51" s="3" t="inlineStr">
        <is>
          <t>CORRECTO</t>
        </is>
      </c>
      <c r="S51" s="2" t="inlineStr">
        <is>
          <t>C</t>
        </is>
      </c>
      <c r="T51" s="4" t="inlineStr">
        <is>
          <t>INCORRECTO</t>
        </is>
      </c>
      <c r="U51" s="2" t="inlineStr">
        <is>
          <t>A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B</t>
        </is>
      </c>
      <c r="Z51" s="3" t="inlineStr">
        <is>
          <t>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A</t>
        </is>
      </c>
      <c r="AD51" s="4" t="inlineStr">
        <is>
          <t>INCORRECTO</t>
        </is>
      </c>
      <c r="AE51" s="2" t="inlineStr">
        <is>
          <t>B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A</t>
        </is>
      </c>
      <c r="AL51" s="3" t="inlineStr">
        <is>
          <t>CORRECTO</t>
        </is>
      </c>
      <c r="AM51" s="5">
        <f>COUNTIF(J51:AL51,"CORRECTO")</f>
        <v/>
      </c>
      <c r="AN51" s="5">
        <f>COUNTIF(J51:AL51,"INCORRECTO")</f>
        <v/>
      </c>
      <c r="AO51" s="5" t="n">
        <v>15</v>
      </c>
      <c r="AP51" s="6">
        <f>AM51/AO51</f>
        <v/>
      </c>
    </row>
    <row r="52">
      <c r="A52" s="2" t="inlineStr">
        <is>
          <t>TRATADO</t>
        </is>
      </c>
      <c r="B52" s="2" t="inlineStr">
        <is>
          <t>111001100013</t>
        </is>
      </c>
      <c r="C52" s="2" t="inlineStr">
        <is>
          <t>COLEGIO BUENAVISTA (IED)</t>
        </is>
      </c>
      <c r="D52" s="2" t="inlineStr">
        <is>
          <t>LAURA SALOMÉ PALACIOS OTALORA</t>
        </is>
      </c>
      <c r="E52" s="2" t="inlineStr">
        <is>
          <t>1075806476</t>
        </is>
      </c>
      <c r="F52" s="2" t="n">
        <v>3</v>
      </c>
      <c r="G52" s="2" t="n">
        <v>301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3" t="inlineStr">
        <is>
          <t>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A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5">
        <f>COUNTIF(J52:AL52,"CORRECTO")</f>
        <v/>
      </c>
      <c r="AN52" s="5">
        <f>COUNTIF(J52:AL52,"INCORRECTO")</f>
        <v/>
      </c>
      <c r="AO52" s="5" t="n">
        <v>15</v>
      </c>
      <c r="AP52" s="6">
        <f>AM52/AO52</f>
        <v/>
      </c>
    </row>
    <row r="53">
      <c r="A53" s="2" t="inlineStr">
        <is>
          <t>TRATADO</t>
        </is>
      </c>
      <c r="B53" s="2" t="inlineStr">
        <is>
          <t>111001100013</t>
        </is>
      </c>
      <c r="C53" s="2" t="inlineStr">
        <is>
          <t>COLEGIO BUENAVISTA (IED)</t>
        </is>
      </c>
      <c r="D53" s="2" t="inlineStr">
        <is>
          <t>SARA JULIETH RANGEL SOGAMOSO</t>
        </is>
      </c>
      <c r="E53" s="2" t="inlineStr">
        <is>
          <t>1033821411</t>
        </is>
      </c>
      <c r="F53" s="2" t="n">
        <v>3</v>
      </c>
      <c r="G53" s="2" t="n">
        <v>301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3" t="inlineStr">
        <is>
          <t>CORRECTO</t>
        </is>
      </c>
      <c r="Q53" s="2" t="inlineStr">
        <is>
          <t>C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D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A</t>
        </is>
      </c>
      <c r="AJ53" s="4" t="inlineStr">
        <is>
          <t>INCORRECTO</t>
        </is>
      </c>
      <c r="AK53" s="2" t="inlineStr">
        <is>
          <t>A</t>
        </is>
      </c>
      <c r="AL53" s="3" t="inlineStr">
        <is>
          <t>CORRECTO</t>
        </is>
      </c>
      <c r="AM53" s="5">
        <f>COUNTIF(J53:AL53,"CORRECTO")</f>
        <v/>
      </c>
      <c r="AN53" s="5">
        <f>COUNTIF(J53:AL53,"INCORRECTO")</f>
        <v/>
      </c>
      <c r="AO53" s="5" t="n">
        <v>15</v>
      </c>
      <c r="AP53" s="6">
        <f>AM53/AO53</f>
        <v/>
      </c>
    </row>
    <row r="54">
      <c r="A54" s="2" t="inlineStr">
        <is>
          <t>TRATADO</t>
        </is>
      </c>
      <c r="B54" s="2" t="inlineStr">
        <is>
          <t>111001100013</t>
        </is>
      </c>
      <c r="C54" s="2" t="inlineStr">
        <is>
          <t>COLEGIO BUENAVISTA (IED)</t>
        </is>
      </c>
      <c r="D54" s="2" t="inlineStr">
        <is>
          <t>MAXIMILIANO PEREZ LEON</t>
        </is>
      </c>
      <c r="E54" s="2" t="inlineStr">
        <is>
          <t>1023411427</t>
        </is>
      </c>
      <c r="F54" s="2" t="n">
        <v>3</v>
      </c>
      <c r="G54" s="2" t="n">
        <v>301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3" t="inlineStr">
        <is>
          <t>CORRECTO</t>
        </is>
      </c>
      <c r="Q54" s="2" t="inlineStr">
        <is>
          <t>C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A</t>
        </is>
      </c>
      <c r="V54" s="4" t="inlineStr">
        <is>
          <t>INCORRECTO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B</t>
        </is>
      </c>
      <c r="Z54" s="3" t="inlineStr">
        <is>
          <t>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D</t>
        </is>
      </c>
      <c r="AF54" s="4" t="inlineStr">
        <is>
          <t>INCORRECTO</t>
        </is>
      </c>
      <c r="AG54" s="2" t="inlineStr">
        <is>
          <t>A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D</t>
        </is>
      </c>
      <c r="AL54" s="4" t="inlineStr">
        <is>
          <t>INCORRECTO</t>
        </is>
      </c>
      <c r="AM54" s="5">
        <f>COUNTIF(J54:AL54,"CORRECTO")</f>
        <v/>
      </c>
      <c r="AN54" s="5">
        <f>COUNTIF(J54:AL54,"INCORRECTO")</f>
        <v/>
      </c>
      <c r="AO54" s="5" t="n">
        <v>15</v>
      </c>
      <c r="AP54" s="6">
        <f>AM54/AO54</f>
        <v/>
      </c>
    </row>
    <row r="55">
      <c r="A55" s="2" t="inlineStr">
        <is>
          <t>TRATADO</t>
        </is>
      </c>
      <c r="B55" s="2" t="inlineStr">
        <is>
          <t>111001100013</t>
        </is>
      </c>
      <c r="C55" s="2" t="inlineStr">
        <is>
          <t>COLEGIO BUENAVISTA (IED)</t>
        </is>
      </c>
      <c r="D55" s="2" t="inlineStr">
        <is>
          <t>DYLAN STIVEN UMAÑA RUIZ</t>
        </is>
      </c>
      <c r="E55" s="2" t="inlineStr">
        <is>
          <t>1023980366</t>
        </is>
      </c>
      <c r="F55" s="2" t="n">
        <v>3</v>
      </c>
      <c r="G55" s="2" t="n">
        <v>301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B</t>
        </is>
      </c>
      <c r="N55" s="3" t="inlineStr">
        <is>
          <t>CORRECTO</t>
        </is>
      </c>
      <c r="O55" s="2" t="inlineStr">
        <is>
          <t>C</t>
        </is>
      </c>
      <c r="P55" s="3" t="inlineStr">
        <is>
          <t>CORRECTO</t>
        </is>
      </c>
      <c r="Q55" s="2" t="inlineStr">
        <is>
          <t>C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B</t>
        </is>
      </c>
      <c r="Z55" s="3" t="inlineStr">
        <is>
          <t>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A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5">
        <f>COUNTIF(J55:AL55,"CORRECTO")</f>
        <v/>
      </c>
      <c r="AN55" s="5">
        <f>COUNTIF(J55:AL55,"INCORRECTO")</f>
        <v/>
      </c>
      <c r="AO55" s="5" t="n">
        <v>15</v>
      </c>
      <c r="AP55" s="6">
        <f>AM55/AO55</f>
        <v/>
      </c>
    </row>
    <row r="56">
      <c r="A56" s="2" t="inlineStr">
        <is>
          <t>TRATADO</t>
        </is>
      </c>
      <c r="B56" s="2" t="inlineStr">
        <is>
          <t>111001100013</t>
        </is>
      </c>
      <c r="C56" s="2" t="inlineStr">
        <is>
          <t>COLEGIO BUENAVISTA (IED)</t>
        </is>
      </c>
      <c r="D56" s="2" t="inlineStr">
        <is>
          <t>SIRIANNY CAROLINA PRIETO HERNANDEZ</t>
        </is>
      </c>
      <c r="E56" s="2" t="inlineStr">
        <is>
          <t>6361291</t>
        </is>
      </c>
      <c r="F56" s="2" t="n">
        <v>3</v>
      </c>
      <c r="G56" s="2" t="n">
        <v>301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C</t>
        </is>
      </c>
      <c r="P56" s="3" t="inlineStr">
        <is>
          <t>CORRECTO</t>
        </is>
      </c>
      <c r="Q56" s="2" t="inlineStr">
        <is>
          <t>C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B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C</t>
        </is>
      </c>
      <c r="AL56" s="4" t="inlineStr">
        <is>
          <t>INCORRECTO</t>
        </is>
      </c>
      <c r="AM56" s="5">
        <f>COUNTIF(J56:AL56,"CORRECTO")</f>
        <v/>
      </c>
      <c r="AN56" s="5">
        <f>COUNTIF(J56:AL56,"INCORRECTO")</f>
        <v/>
      </c>
      <c r="AO56" s="5" t="n">
        <v>15</v>
      </c>
      <c r="AP56" s="6">
        <f>AM56/AO56</f>
        <v/>
      </c>
    </row>
    <row r="57">
      <c r="A57" s="2" t="inlineStr">
        <is>
          <t>TRATADO</t>
        </is>
      </c>
      <c r="B57" s="2" t="inlineStr">
        <is>
          <t>111001100013</t>
        </is>
      </c>
      <c r="C57" s="2" t="inlineStr">
        <is>
          <t>COLEGIO BUENAVISTA (IED)</t>
        </is>
      </c>
      <c r="D57" s="2" t="inlineStr">
        <is>
          <t>JONATHAN FELIPE CASAS CARDENAS</t>
        </is>
      </c>
      <c r="E57" s="2" t="inlineStr">
        <is>
          <t>1033815885</t>
        </is>
      </c>
      <c r="F57" s="2" t="n">
        <v>3</v>
      </c>
      <c r="G57" s="2" t="n">
        <v>301</v>
      </c>
      <c r="H57" s="2" t="inlineStr">
        <is>
          <t>LENGUAJE</t>
        </is>
      </c>
      <c r="I57" s="2" t="inlineStr"/>
      <c r="J57" s="4" t="inlineStr">
        <is>
          <t>INCORRECTO</t>
        </is>
      </c>
      <c r="K57" s="2" t="inlineStr"/>
      <c r="L57" s="4" t="inlineStr">
        <is>
          <t>INCORRECTO</t>
        </is>
      </c>
      <c r="M57" s="2" t="inlineStr"/>
      <c r="N57" s="4" t="inlineStr">
        <is>
          <t>INCORRECTO</t>
        </is>
      </c>
      <c r="O57" s="2" t="inlineStr"/>
      <c r="P57" s="4" t="inlineStr">
        <is>
          <t>INCORRECTO</t>
        </is>
      </c>
      <c r="Q57" s="2" t="inlineStr">
        <is>
          <t>C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B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C</t>
        </is>
      </c>
      <c r="AD57" s="3" t="inlineStr">
        <is>
          <t>CORRECTO</t>
        </is>
      </c>
      <c r="AE57" s="2" t="inlineStr">
        <is>
          <t>B</t>
        </is>
      </c>
      <c r="AF57" s="3" t="inlineStr">
        <is>
          <t>CORRECTO</t>
        </is>
      </c>
      <c r="AG57" s="2" t="inlineStr"/>
      <c r="AH57" s="4" t="inlineStr">
        <is>
          <t>INCORRECTO</t>
        </is>
      </c>
      <c r="AI57" s="2" t="inlineStr"/>
      <c r="AJ57" s="4" t="inlineStr">
        <is>
          <t>INCORRECTO</t>
        </is>
      </c>
      <c r="AK57" s="2" t="inlineStr"/>
      <c r="AL57" s="4" t="inlineStr">
        <is>
          <t>INCORRECTO</t>
        </is>
      </c>
      <c r="AM57" s="5">
        <f>COUNTIF(J57:AL57,"CORRECTO")</f>
        <v/>
      </c>
      <c r="AN57" s="5">
        <f>COUNTIF(J57:AL57,"INCORRECTO")</f>
        <v/>
      </c>
      <c r="AO57" s="5" t="n">
        <v>15</v>
      </c>
      <c r="AP57" s="6">
        <f>AM57/AO57</f>
        <v/>
      </c>
    </row>
    <row r="58">
      <c r="A58" s="2" t="inlineStr">
        <is>
          <t>TRATADO</t>
        </is>
      </c>
      <c r="B58" s="2" t="inlineStr">
        <is>
          <t>111001100013</t>
        </is>
      </c>
      <c r="C58" s="2" t="inlineStr">
        <is>
          <t>COLEGIO BUENAVISTA (IED)</t>
        </is>
      </c>
      <c r="D58" s="2" t="inlineStr">
        <is>
          <t>LAURA FERNANDA TOLENTINO FLOREZ</t>
        </is>
      </c>
      <c r="E58" s="2" t="inlineStr">
        <is>
          <t>1025560613</t>
        </is>
      </c>
      <c r="F58" s="2" t="n">
        <v>3</v>
      </c>
      <c r="G58" s="2" t="n">
        <v>301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B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3" t="inlineStr">
        <is>
          <t>CORRECTO</t>
        </is>
      </c>
      <c r="Q58" s="2" t="inlineStr">
        <is>
          <t>C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C</t>
        </is>
      </c>
      <c r="AD58" s="3" t="inlineStr">
        <is>
          <t>CORRECTO</t>
        </is>
      </c>
      <c r="AE58" s="2" t="inlineStr">
        <is>
          <t>B</t>
        </is>
      </c>
      <c r="AF58" s="3" t="inlineStr">
        <is>
          <t>CORRECTO</t>
        </is>
      </c>
      <c r="AG58" s="2" t="inlineStr">
        <is>
          <t>A</t>
        </is>
      </c>
      <c r="AH58" s="3" t="inlineStr">
        <is>
          <t>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A</t>
        </is>
      </c>
      <c r="AL58" s="3" t="inlineStr">
        <is>
          <t>CORRECTO</t>
        </is>
      </c>
      <c r="AM58" s="5">
        <f>COUNTIF(J58:AL58,"CORRECTO")</f>
        <v/>
      </c>
      <c r="AN58" s="5">
        <f>COUNTIF(J58:AL58,"INCORRECTO")</f>
        <v/>
      </c>
      <c r="AO58" s="5" t="n">
        <v>15</v>
      </c>
      <c r="AP58" s="6">
        <f>AM58/AO58</f>
        <v/>
      </c>
    </row>
    <row r="59">
      <c r="A59" s="2" t="inlineStr">
        <is>
          <t>TRATADO</t>
        </is>
      </c>
      <c r="B59" s="2" t="inlineStr">
        <is>
          <t>111001100013</t>
        </is>
      </c>
      <c r="C59" s="2" t="inlineStr">
        <is>
          <t>COLEGIO BUENAVISTA (IED)</t>
        </is>
      </c>
      <c r="D59" s="2" t="inlineStr">
        <is>
          <t>MATHIAS MUÑOZ BELTRAN</t>
        </is>
      </c>
      <c r="E59" s="2" t="inlineStr">
        <is>
          <t>1011248276</t>
        </is>
      </c>
      <c r="F59" s="2" t="n">
        <v>3</v>
      </c>
      <c r="G59" s="2" t="n">
        <v>301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B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C</t>
        </is>
      </c>
      <c r="P59" s="3" t="inlineStr">
        <is>
          <t>CORRECTO</t>
        </is>
      </c>
      <c r="Q59" s="2" t="inlineStr">
        <is>
          <t>C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>
        <is>
          <t>B</t>
        </is>
      </c>
      <c r="Z59" s="3" t="inlineStr">
        <is>
          <t>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C</t>
        </is>
      </c>
      <c r="AD59" s="3" t="inlineStr">
        <is>
          <t>CORRECTO</t>
        </is>
      </c>
      <c r="AE59" s="2" t="inlineStr">
        <is>
          <t>D</t>
        </is>
      </c>
      <c r="AF59" s="4" t="inlineStr">
        <is>
          <t>INCORRECTO</t>
        </is>
      </c>
      <c r="AG59" s="2" t="inlineStr">
        <is>
          <t>A</t>
        </is>
      </c>
      <c r="AH59" s="3" t="inlineStr">
        <is>
          <t>CORRECTO</t>
        </is>
      </c>
      <c r="AI59" s="2" t="inlineStr">
        <is>
          <t>B</t>
        </is>
      </c>
      <c r="AJ59" s="3" t="inlineStr">
        <is>
          <t>CORRECTO</t>
        </is>
      </c>
      <c r="AK59" s="2" t="inlineStr">
        <is>
          <t>A</t>
        </is>
      </c>
      <c r="AL59" s="3" t="inlineStr">
        <is>
          <t>CORRECTO</t>
        </is>
      </c>
      <c r="AM59" s="5">
        <f>COUNTIF(J59:AL59,"CORRECTO")</f>
        <v/>
      </c>
      <c r="AN59" s="5">
        <f>COUNTIF(J59:AL59,"INCORRECTO")</f>
        <v/>
      </c>
      <c r="AO59" s="5" t="n">
        <v>15</v>
      </c>
      <c r="AP59" s="6">
        <f>AM59/AO59</f>
        <v/>
      </c>
    </row>
    <row r="60">
      <c r="A60" s="2" t="inlineStr">
        <is>
          <t>TRATADO</t>
        </is>
      </c>
      <c r="B60" s="2" t="inlineStr">
        <is>
          <t>111001100013</t>
        </is>
      </c>
      <c r="C60" s="2" t="inlineStr">
        <is>
          <t>COLEGIO BUENAVISTA (IED)</t>
        </is>
      </c>
      <c r="D60" s="2" t="inlineStr">
        <is>
          <t>AILYN SOFIA MENDOZA FRANCO</t>
        </is>
      </c>
      <c r="E60" s="2" t="inlineStr">
        <is>
          <t>1027539134</t>
        </is>
      </c>
      <c r="F60" s="2" t="n">
        <v>3</v>
      </c>
      <c r="G60" s="2" t="n">
        <v>301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B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C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A</t>
        </is>
      </c>
      <c r="AL60" s="3" t="inlineStr">
        <is>
          <t>CORRECTO</t>
        </is>
      </c>
      <c r="AM60" s="5">
        <f>COUNTIF(J60:AL60,"CORRECTO")</f>
        <v/>
      </c>
      <c r="AN60" s="5">
        <f>COUNTIF(J60:AL60,"INCORRECTO")</f>
        <v/>
      </c>
      <c r="AO60" s="5" t="n">
        <v>15</v>
      </c>
      <c r="AP60" s="6">
        <f>AM60/AO60</f>
        <v/>
      </c>
    </row>
    <row r="61">
      <c r="A61" s="2" t="inlineStr">
        <is>
          <t>TRATADO</t>
        </is>
      </c>
      <c r="B61" s="2" t="inlineStr">
        <is>
          <t>111001100013</t>
        </is>
      </c>
      <c r="C61" s="2" t="inlineStr">
        <is>
          <t>COLEGIO BUENAVISTA (IED)</t>
        </is>
      </c>
      <c r="D61" s="2" t="inlineStr">
        <is>
          <t>MATIAS GARZON BARAJAS</t>
        </is>
      </c>
      <c r="E61" s="2" t="inlineStr">
        <is>
          <t>1033811206</t>
        </is>
      </c>
      <c r="F61" s="2" t="n">
        <v>3</v>
      </c>
      <c r="G61" s="2" t="n">
        <v>301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3" t="inlineStr">
        <is>
          <t>CORRECTO</t>
        </is>
      </c>
      <c r="Q61" s="2" t="inlineStr">
        <is>
          <t>C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3" t="inlineStr">
        <is>
          <t>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3" t="inlineStr">
        <is>
          <t>CORRECTO</t>
        </is>
      </c>
      <c r="AM61" s="5">
        <f>COUNTIF(J61:AL61,"CORRECTO")</f>
        <v/>
      </c>
      <c r="AN61" s="5">
        <f>COUNTIF(J61:AL61,"INCORRECTO")</f>
        <v/>
      </c>
      <c r="AO61" s="5" t="n">
        <v>15</v>
      </c>
      <c r="AP61" s="6">
        <f>AM61/AO61</f>
        <v/>
      </c>
    </row>
    <row r="62">
      <c r="A62" s="2" t="inlineStr">
        <is>
          <t>TRATADO</t>
        </is>
      </c>
      <c r="B62" s="2" t="inlineStr">
        <is>
          <t>111001100013</t>
        </is>
      </c>
      <c r="C62" s="2" t="inlineStr">
        <is>
          <t>COLEGIO BUENAVISTA (IED)</t>
        </is>
      </c>
      <c r="D62" s="2" t="inlineStr">
        <is>
          <t>LUCIANA ABRIL SERNA</t>
        </is>
      </c>
      <c r="E62" s="2" t="inlineStr">
        <is>
          <t>1021693287</t>
        </is>
      </c>
      <c r="F62" s="2" t="n">
        <v>3</v>
      </c>
      <c r="G62" s="2" t="n">
        <v>301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B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C</t>
        </is>
      </c>
      <c r="P62" s="3" t="inlineStr">
        <is>
          <t>CORRECTO</t>
        </is>
      </c>
      <c r="Q62" s="2" t="inlineStr">
        <is>
          <t>C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B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A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3" t="inlineStr">
        <is>
          <t>CORRECTO</t>
        </is>
      </c>
      <c r="AM62" s="5">
        <f>COUNTIF(J62:AL62,"CORRECTO")</f>
        <v/>
      </c>
      <c r="AN62" s="5">
        <f>COUNTIF(J62:AL62,"INCORRECTO")</f>
        <v/>
      </c>
      <c r="AO62" s="5" t="n">
        <v>15</v>
      </c>
      <c r="AP62" s="6">
        <f>AM62/AO62</f>
        <v/>
      </c>
    </row>
    <row r="63">
      <c r="A63" s="2" t="inlineStr">
        <is>
          <t>TRATADO</t>
        </is>
      </c>
      <c r="B63" s="2" t="inlineStr">
        <is>
          <t>111001100013</t>
        </is>
      </c>
      <c r="C63" s="2" t="inlineStr">
        <is>
          <t>COLEGIO BUENAVISTA (IED)</t>
        </is>
      </c>
      <c r="D63" s="2" t="inlineStr">
        <is>
          <t>DAILEN SAMARA HERNANDEZ DUARTE</t>
        </is>
      </c>
      <c r="E63" s="2" t="inlineStr">
        <is>
          <t>1122940004</t>
        </is>
      </c>
      <c r="F63" s="2" t="n">
        <v>3</v>
      </c>
      <c r="G63" s="2" t="n">
        <v>301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C</t>
        </is>
      </c>
      <c r="P63" s="3" t="inlineStr">
        <is>
          <t>CORRECTO</t>
        </is>
      </c>
      <c r="Q63" s="2" t="inlineStr">
        <is>
          <t>C</t>
        </is>
      </c>
      <c r="R63" s="3" t="inlineStr">
        <is>
          <t>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C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B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A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D</t>
        </is>
      </c>
      <c r="AL63" s="4" t="inlineStr">
        <is>
          <t>INCORRECTO</t>
        </is>
      </c>
      <c r="AM63" s="5">
        <f>COUNTIF(J63:AL63,"CORRECTO")</f>
        <v/>
      </c>
      <c r="AN63" s="5">
        <f>COUNTIF(J63:AL63,"INCORRECTO")</f>
        <v/>
      </c>
      <c r="AO63" s="5" t="n">
        <v>15</v>
      </c>
      <c r="AP63" s="6">
        <f>AM63/AO63</f>
        <v/>
      </c>
    </row>
    <row r="64">
      <c r="A64" s="2" t="inlineStr">
        <is>
          <t>TRATADO</t>
        </is>
      </c>
      <c r="B64" s="2" t="inlineStr">
        <is>
          <t>111001100013</t>
        </is>
      </c>
      <c r="C64" s="2" t="inlineStr">
        <is>
          <t>COLEGIO BUENAVISTA (IED)</t>
        </is>
      </c>
      <c r="D64" s="2" t="inlineStr">
        <is>
          <t>JUAN JOSE COMEZAQUIRA REAY</t>
        </is>
      </c>
      <c r="E64" s="2" t="inlineStr">
        <is>
          <t>1024591713</t>
        </is>
      </c>
      <c r="F64" s="2" t="n">
        <v>3</v>
      </c>
      <c r="G64" s="2" t="n">
        <v>301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D</t>
        </is>
      </c>
      <c r="L64" s="4" t="inlineStr">
        <is>
          <t>INCORRECTO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3" t="inlineStr">
        <is>
          <t>CORRECTO</t>
        </is>
      </c>
      <c r="Q64" s="2" t="inlineStr">
        <is>
          <t>C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A</t>
        </is>
      </c>
      <c r="AH64" s="3" t="inlineStr">
        <is>
          <t>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5">
        <f>COUNTIF(J64:AL64,"CORRECTO")</f>
        <v/>
      </c>
      <c r="AN64" s="5">
        <f>COUNTIF(J64:AL64,"INCORRECTO")</f>
        <v/>
      </c>
      <c r="AO64" s="5" t="n">
        <v>15</v>
      </c>
      <c r="AP64" s="6">
        <f>AM64/AO64</f>
        <v/>
      </c>
    </row>
    <row r="65">
      <c r="A65" s="2" t="inlineStr">
        <is>
          <t>TRATADO</t>
        </is>
      </c>
      <c r="B65" s="2" t="inlineStr">
        <is>
          <t>111001100013</t>
        </is>
      </c>
      <c r="C65" s="2" t="inlineStr">
        <is>
          <t>COLEGIO BUENAVISTA (IED)</t>
        </is>
      </c>
      <c r="D65" s="2" t="inlineStr">
        <is>
          <t>MARIA PAULA LEGUIZAMON BUSTOS</t>
        </is>
      </c>
      <c r="E65" s="2" t="inlineStr">
        <is>
          <t>1019767611</t>
        </is>
      </c>
      <c r="F65" s="2" t="n">
        <v>3</v>
      </c>
      <c r="G65" s="2" t="n">
        <v>301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C</t>
        </is>
      </c>
      <c r="P65" s="3" t="inlineStr">
        <is>
          <t>CORRECTO</t>
        </is>
      </c>
      <c r="Q65" s="2" t="inlineStr">
        <is>
          <t>C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A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3" t="inlineStr">
        <is>
          <t>CORRECTO</t>
        </is>
      </c>
      <c r="AM65" s="5">
        <f>COUNTIF(J65:AL65,"CORRECTO")</f>
        <v/>
      </c>
      <c r="AN65" s="5">
        <f>COUNTIF(J65:AL65,"INCORRECTO")</f>
        <v/>
      </c>
      <c r="AO65" s="5" t="n">
        <v>15</v>
      </c>
      <c r="AP65" s="6">
        <f>AM65/AO65</f>
        <v/>
      </c>
    </row>
    <row r="66">
      <c r="A66" s="2" t="inlineStr">
        <is>
          <t>TRATADO</t>
        </is>
      </c>
      <c r="B66" s="2" t="inlineStr">
        <is>
          <t>111001100013</t>
        </is>
      </c>
      <c r="C66" s="2" t="inlineStr">
        <is>
          <t>COLEGIO BUENAVISTA (IED)</t>
        </is>
      </c>
      <c r="D66" s="2" t="inlineStr">
        <is>
          <t>EMMANUEL NICOLAS SALAMANCA NUÑEZ</t>
        </is>
      </c>
      <c r="E66" s="2" t="inlineStr">
        <is>
          <t>1024597564</t>
        </is>
      </c>
      <c r="F66" s="2" t="n">
        <v>3</v>
      </c>
      <c r="G66" s="2" t="n">
        <v>301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B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3" t="inlineStr">
        <is>
          <t>CORRECTO</t>
        </is>
      </c>
      <c r="Q66" s="2" t="inlineStr">
        <is>
          <t>C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B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A</t>
        </is>
      </c>
      <c r="AL66" s="3" t="inlineStr">
        <is>
          <t>CORRECTO</t>
        </is>
      </c>
      <c r="AM66" s="5">
        <f>COUNTIF(J66:AL66,"CORRECTO")</f>
        <v/>
      </c>
      <c r="AN66" s="5">
        <f>COUNTIF(J66:AL66,"INCORRECTO")</f>
        <v/>
      </c>
      <c r="AO66" s="5" t="n">
        <v>15</v>
      </c>
      <c r="AP66" s="6">
        <f>AM66/AO66</f>
        <v/>
      </c>
    </row>
    <row r="67">
      <c r="A67" s="2" t="inlineStr">
        <is>
          <t>TRATADO</t>
        </is>
      </c>
      <c r="B67" s="2" t="inlineStr">
        <is>
          <t>111001100013</t>
        </is>
      </c>
      <c r="C67" s="2" t="inlineStr">
        <is>
          <t>COLEGIO BUENAVISTA (IED)</t>
        </is>
      </c>
      <c r="D67" s="2" t="inlineStr">
        <is>
          <t>SARAHI MAITE CUBILLOS VIRGUEZ</t>
        </is>
      </c>
      <c r="E67" s="2" t="inlineStr">
        <is>
          <t>1031184052</t>
        </is>
      </c>
      <c r="F67" s="2" t="n">
        <v>3</v>
      </c>
      <c r="G67" s="2" t="n">
        <v>301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D</t>
        </is>
      </c>
      <c r="L67" s="4" t="inlineStr">
        <is>
          <t>INCORRECTO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C</t>
        </is>
      </c>
      <c r="P67" s="3" t="inlineStr">
        <is>
          <t>CORRECTO</t>
        </is>
      </c>
      <c r="Q67" s="2" t="inlineStr">
        <is>
          <t>C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/>
      <c r="AD67" s="4" t="inlineStr">
        <is>
          <t>INCORRECTO</t>
        </is>
      </c>
      <c r="AE67" s="2" t="inlineStr"/>
      <c r="AF67" s="4" t="inlineStr">
        <is>
          <t>INCORRECTO</t>
        </is>
      </c>
      <c r="AG67" s="2" t="inlineStr">
        <is>
          <t>A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D</t>
        </is>
      </c>
      <c r="AL67" s="4" t="inlineStr">
        <is>
          <t>INCORRECTO</t>
        </is>
      </c>
      <c r="AM67" s="5">
        <f>COUNTIF(J67:AL67,"CORRECTO")</f>
        <v/>
      </c>
      <c r="AN67" s="5">
        <f>COUNTIF(J67:AL67,"INCORRECTO")</f>
        <v/>
      </c>
      <c r="AO67" s="5" t="n">
        <v>15</v>
      </c>
      <c r="AP67" s="6">
        <f>AM67/AO67</f>
        <v/>
      </c>
    </row>
    <row r="68">
      <c r="A68" s="2" t="inlineStr">
        <is>
          <t>TRATADO</t>
        </is>
      </c>
      <c r="B68" s="2" t="inlineStr">
        <is>
          <t>111001100013</t>
        </is>
      </c>
      <c r="C68" s="2" t="inlineStr">
        <is>
          <t>COLEGIO BUENAVISTA (IED)</t>
        </is>
      </c>
      <c r="D68" s="2" t="inlineStr">
        <is>
          <t>MATIAS MORA HERNANDEZ</t>
        </is>
      </c>
      <c r="E68" s="2" t="inlineStr">
        <is>
          <t>1029154165</t>
        </is>
      </c>
      <c r="F68" s="2" t="n">
        <v>3</v>
      </c>
      <c r="G68" s="2" t="n">
        <v>301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/>
      <c r="L68" s="4" t="inlineStr">
        <is>
          <t>INCORRECTO</t>
        </is>
      </c>
      <c r="M68" s="2" t="inlineStr"/>
      <c r="N68" s="4" t="inlineStr">
        <is>
          <t>INCORRECTO</t>
        </is>
      </c>
      <c r="O68" s="2" t="inlineStr"/>
      <c r="P68" s="4" t="inlineStr">
        <is>
          <t>INCORRECTO</t>
        </is>
      </c>
      <c r="Q68" s="2" t="inlineStr">
        <is>
          <t>C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3" t="inlineStr">
        <is>
          <t>CORRECTO</t>
        </is>
      </c>
      <c r="AC68" s="2" t="inlineStr">
        <is>
          <t>C</t>
        </is>
      </c>
      <c r="AD68" s="3" t="inlineStr">
        <is>
          <t>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A</t>
        </is>
      </c>
      <c r="AL68" s="3" t="inlineStr">
        <is>
          <t>CORRECTO</t>
        </is>
      </c>
      <c r="AM68" s="5">
        <f>COUNTIF(J68:AL68,"CORRECTO")</f>
        <v/>
      </c>
      <c r="AN68" s="5">
        <f>COUNTIF(J68:AL68,"INCORRECTO")</f>
        <v/>
      </c>
      <c r="AO68" s="5" t="n">
        <v>15</v>
      </c>
      <c r="AP68" s="6">
        <f>AM68/AO68</f>
        <v/>
      </c>
    </row>
    <row r="69">
      <c r="A69" s="2" t="inlineStr">
        <is>
          <t>TRATADO</t>
        </is>
      </c>
      <c r="B69" s="2" t="inlineStr">
        <is>
          <t>111001100013</t>
        </is>
      </c>
      <c r="C69" s="2" t="inlineStr">
        <is>
          <t>COLEGIO BUENAVISTA (IED)</t>
        </is>
      </c>
      <c r="D69" s="2" t="inlineStr">
        <is>
          <t>ZOHE MARIANA GIL PARRA</t>
        </is>
      </c>
      <c r="E69" s="2" t="inlineStr">
        <is>
          <t>1033812728</t>
        </is>
      </c>
      <c r="F69" s="2" t="n">
        <v>3</v>
      </c>
      <c r="G69" s="2" t="n">
        <v>301</v>
      </c>
      <c r="H69" s="2" t="inlineStr">
        <is>
          <t>LENGUAJE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3" t="inlineStr">
        <is>
          <t>CORRECTO</t>
        </is>
      </c>
      <c r="O69" s="2" t="inlineStr">
        <is>
          <t>C</t>
        </is>
      </c>
      <c r="P69" s="3" t="inlineStr">
        <is>
          <t>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3" t="inlineStr">
        <is>
          <t>CORRECTO</t>
        </is>
      </c>
      <c r="AC69" s="2" t="inlineStr">
        <is>
          <t>A</t>
        </is>
      </c>
      <c r="AD69" s="4" t="inlineStr">
        <is>
          <t>INCORRECTO</t>
        </is>
      </c>
      <c r="AE69" s="2" t="inlineStr">
        <is>
          <t>D</t>
        </is>
      </c>
      <c r="AF69" s="4" t="inlineStr">
        <is>
          <t>INCORRECTO</t>
        </is>
      </c>
      <c r="AG69" s="2" t="inlineStr">
        <is>
          <t>A</t>
        </is>
      </c>
      <c r="AH69" s="3" t="inlineStr">
        <is>
          <t>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B</t>
        </is>
      </c>
      <c r="AL69" s="4" t="inlineStr">
        <is>
          <t>INCORRECTO</t>
        </is>
      </c>
      <c r="AM69" s="5">
        <f>COUNTIF(J69:AL69,"CORRECTO")</f>
        <v/>
      </c>
      <c r="AN69" s="5">
        <f>COUNTIF(J69:AL69,"INCORRECTO")</f>
        <v/>
      </c>
      <c r="AO69" s="5" t="n">
        <v>15</v>
      </c>
      <c r="AP69" s="6">
        <f>AM69/AO69</f>
        <v/>
      </c>
    </row>
    <row r="70">
      <c r="A70" s="2" t="inlineStr">
        <is>
          <t>TRATADO</t>
        </is>
      </c>
      <c r="B70" s="2" t="inlineStr">
        <is>
          <t>111001100013</t>
        </is>
      </c>
      <c r="C70" s="2" t="inlineStr">
        <is>
          <t>COLEGIO BUENAVISTA (IED)</t>
        </is>
      </c>
      <c r="D70" s="2" t="inlineStr">
        <is>
          <t>LAURA SHALOME ROJAS MENDOZA</t>
        </is>
      </c>
      <c r="E70" s="2" t="inlineStr">
        <is>
          <t>1027301667</t>
        </is>
      </c>
      <c r="F70" s="2" t="n">
        <v>3</v>
      </c>
      <c r="G70" s="2" t="n">
        <v>301</v>
      </c>
      <c r="H70" s="2" t="inlineStr">
        <is>
          <t>LENGUAJE</t>
        </is>
      </c>
      <c r="I70" s="2" t="inlineStr">
        <is>
          <t>B</t>
        </is>
      </c>
      <c r="J70" s="3" t="inlineStr">
        <is>
          <t>CORRECTO</t>
        </is>
      </c>
      <c r="K70" s="2" t="inlineStr">
        <is>
          <t>B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C</t>
        </is>
      </c>
      <c r="P70" s="3" t="inlineStr">
        <is>
          <t>CORRECTO</t>
        </is>
      </c>
      <c r="Q70" s="2" t="inlineStr">
        <is>
          <t>C</t>
        </is>
      </c>
      <c r="R70" s="3" t="inlineStr">
        <is>
          <t>CORRECTO</t>
        </is>
      </c>
      <c r="S70" s="2" t="inlineStr">
        <is>
          <t>B</t>
        </is>
      </c>
      <c r="T70" s="3" t="inlineStr">
        <is>
          <t>CORRECTO</t>
        </is>
      </c>
      <c r="U70" s="2" t="inlineStr">
        <is>
          <t>C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B</t>
        </is>
      </c>
      <c r="Z70" s="3" t="inlineStr">
        <is>
          <t>CORRECTO</t>
        </is>
      </c>
      <c r="AA70" s="2" t="inlineStr">
        <is>
          <t>C</t>
        </is>
      </c>
      <c r="AB70" s="3" t="inlineStr">
        <is>
          <t>CORRECTO</t>
        </is>
      </c>
      <c r="AC70" s="2" t="inlineStr">
        <is>
          <t>A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C</t>
        </is>
      </c>
      <c r="AL70" s="4" t="inlineStr">
        <is>
          <t>INCORRECTO</t>
        </is>
      </c>
      <c r="AM70" s="5">
        <f>COUNTIF(J70:AL70,"CORRECTO")</f>
        <v/>
      </c>
      <c r="AN70" s="5">
        <f>COUNTIF(J70:AL70,"INCORRECTO")</f>
        <v/>
      </c>
      <c r="AO70" s="5" t="n">
        <v>15</v>
      </c>
      <c r="AP70" s="6">
        <f>AM70/AO70</f>
        <v/>
      </c>
    </row>
    <row r="71">
      <c r="A71" s="2" t="inlineStr">
        <is>
          <t>TRATADO</t>
        </is>
      </c>
      <c r="B71" s="2" t="inlineStr">
        <is>
          <t>111001100013</t>
        </is>
      </c>
      <c r="C71" s="2" t="inlineStr">
        <is>
          <t>COLEGIO BUENAVISTA (IED)</t>
        </is>
      </c>
      <c r="D71" s="2" t="inlineStr">
        <is>
          <t>ANGEL MATHIAS ESPINEL GALEANO</t>
        </is>
      </c>
      <c r="E71" s="2" t="inlineStr">
        <is>
          <t>1025561218</t>
        </is>
      </c>
      <c r="F71" s="2" t="n">
        <v>3</v>
      </c>
      <c r="G71" s="2" t="n">
        <v>301</v>
      </c>
      <c r="H71" s="2" t="inlineStr">
        <is>
          <t>LENGUAJE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3" t="inlineStr">
        <is>
          <t>CORRECTO</t>
        </is>
      </c>
      <c r="O71" s="2" t="inlineStr">
        <is>
          <t>C</t>
        </is>
      </c>
      <c r="P71" s="3" t="inlineStr">
        <is>
          <t>CORRECTO</t>
        </is>
      </c>
      <c r="Q71" s="2" t="inlineStr">
        <is>
          <t>C</t>
        </is>
      </c>
      <c r="R71" s="3" t="inlineStr">
        <is>
          <t>CORRECTO</t>
        </is>
      </c>
      <c r="S71" s="2" t="inlineStr">
        <is>
          <t>B</t>
        </is>
      </c>
      <c r="T71" s="3" t="inlineStr">
        <is>
          <t>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C</t>
        </is>
      </c>
      <c r="X71" s="3" t="inlineStr">
        <is>
          <t>CORRECTO</t>
        </is>
      </c>
      <c r="Y71" s="2" t="inlineStr">
        <is>
          <t>B</t>
        </is>
      </c>
      <c r="Z71" s="3" t="inlineStr">
        <is>
          <t>CORRECTO</t>
        </is>
      </c>
      <c r="AA71" s="2" t="inlineStr">
        <is>
          <t>C</t>
        </is>
      </c>
      <c r="AB71" s="3" t="inlineStr">
        <is>
          <t>CORRECTO</t>
        </is>
      </c>
      <c r="AC71" s="2" t="inlineStr">
        <is>
          <t>D</t>
        </is>
      </c>
      <c r="AD71" s="4" t="inlineStr">
        <is>
          <t>INCORRECTO</t>
        </is>
      </c>
      <c r="AE71" s="2" t="inlineStr">
        <is>
          <t>D</t>
        </is>
      </c>
      <c r="AF71" s="4" t="inlineStr">
        <is>
          <t>INCORRECTO</t>
        </is>
      </c>
      <c r="AG71" s="2" t="inlineStr">
        <is>
          <t>A</t>
        </is>
      </c>
      <c r="AH71" s="3" t="inlineStr">
        <is>
          <t>CORRECTO</t>
        </is>
      </c>
      <c r="AI71" s="2" t="inlineStr">
        <is>
          <t>B</t>
        </is>
      </c>
      <c r="AJ71" s="3" t="inlineStr">
        <is>
          <t>CORRECTO</t>
        </is>
      </c>
      <c r="AK71" s="2" t="inlineStr">
        <is>
          <t>A</t>
        </is>
      </c>
      <c r="AL71" s="3" t="inlineStr">
        <is>
          <t>CORRECTO</t>
        </is>
      </c>
      <c r="AM71" s="5">
        <f>COUNTIF(J71:AL71,"CORRECTO")</f>
        <v/>
      </c>
      <c r="AN71" s="5">
        <f>COUNTIF(J71:AL71,"INCORRECTO")</f>
        <v/>
      </c>
      <c r="AO71" s="5" t="n">
        <v>15</v>
      </c>
      <c r="AP71" s="6">
        <f>AM71/AO71</f>
        <v/>
      </c>
    </row>
    <row r="72">
      <c r="A72" s="2" t="inlineStr">
        <is>
          <t>TRATADO</t>
        </is>
      </c>
      <c r="B72" s="2" t="inlineStr">
        <is>
          <t>111001100013</t>
        </is>
      </c>
      <c r="C72" s="2" t="inlineStr">
        <is>
          <t>COLEGIO BUENAVISTA (IED)</t>
        </is>
      </c>
      <c r="D72" s="2" t="inlineStr">
        <is>
          <t>DANNA VALENTINA SIERRA RAMIREZ</t>
        </is>
      </c>
      <c r="E72" s="2" t="inlineStr">
        <is>
          <t>1033821592</t>
        </is>
      </c>
      <c r="F72" s="2" t="n">
        <v>3</v>
      </c>
      <c r="G72" s="2" t="n">
        <v>301</v>
      </c>
      <c r="H72" s="2" t="inlineStr">
        <is>
          <t>LENGUAJE</t>
        </is>
      </c>
      <c r="I72" s="2" t="inlineStr">
        <is>
          <t>B</t>
        </is>
      </c>
      <c r="J72" s="3" t="inlineStr">
        <is>
          <t>CORRECTO</t>
        </is>
      </c>
      <c r="K72" s="2" t="inlineStr">
        <is>
          <t>B</t>
        </is>
      </c>
      <c r="L72" s="3" t="inlineStr">
        <is>
          <t>CORRECTO</t>
        </is>
      </c>
      <c r="M72" s="2" t="inlineStr">
        <is>
          <t>B</t>
        </is>
      </c>
      <c r="N72" s="3" t="inlineStr">
        <is>
          <t>CORRECTO</t>
        </is>
      </c>
      <c r="O72" s="2" t="inlineStr">
        <is>
          <t>C</t>
        </is>
      </c>
      <c r="P72" s="3" t="inlineStr">
        <is>
          <t>CORRECTO</t>
        </is>
      </c>
      <c r="Q72" s="2" t="inlineStr">
        <is>
          <t>C</t>
        </is>
      </c>
      <c r="R72" s="3" t="inlineStr">
        <is>
          <t>CORRECTO</t>
        </is>
      </c>
      <c r="S72" s="2" t="inlineStr">
        <is>
          <t>B</t>
        </is>
      </c>
      <c r="T72" s="3" t="inlineStr">
        <is>
          <t>CORRECTO</t>
        </is>
      </c>
      <c r="U72" s="2" t="inlineStr">
        <is>
          <t>C</t>
        </is>
      </c>
      <c r="V72" s="3" t="inlineStr">
        <is>
          <t>CORRECTO</t>
        </is>
      </c>
      <c r="W72" s="2" t="inlineStr">
        <is>
          <t>C</t>
        </is>
      </c>
      <c r="X72" s="3" t="inlineStr">
        <is>
          <t>CORRECTO</t>
        </is>
      </c>
      <c r="Y72" s="2" t="inlineStr">
        <is>
          <t>B</t>
        </is>
      </c>
      <c r="Z72" s="3" t="inlineStr">
        <is>
          <t>CORRECTO</t>
        </is>
      </c>
      <c r="AA72" s="2" t="inlineStr">
        <is>
          <t>C</t>
        </is>
      </c>
      <c r="AB72" s="3" t="inlineStr">
        <is>
          <t>CORRECTO</t>
        </is>
      </c>
      <c r="AC72" s="2" t="inlineStr">
        <is>
          <t>D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3" t="inlineStr">
        <is>
          <t>CORRECTO</t>
        </is>
      </c>
      <c r="AI72" s="2" t="inlineStr">
        <is>
          <t>A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5">
        <f>COUNTIF(J72:AL72,"CORRECTO")</f>
        <v/>
      </c>
      <c r="AN72" s="5">
        <f>COUNTIF(J72:AL72,"INCORRECTO")</f>
        <v/>
      </c>
      <c r="AO72" s="5" t="n">
        <v>15</v>
      </c>
      <c r="AP72" s="6">
        <f>AM72/AO72</f>
        <v/>
      </c>
    </row>
    <row r="73">
      <c r="A73" s="2" t="inlineStr">
        <is>
          <t>TRATADO</t>
        </is>
      </c>
      <c r="B73" s="2" t="inlineStr">
        <is>
          <t>111001100013</t>
        </is>
      </c>
      <c r="C73" s="2" t="inlineStr">
        <is>
          <t>COLEGIO BUENAVISTA (IED)</t>
        </is>
      </c>
      <c r="D73" s="2" t="inlineStr">
        <is>
          <t>HELLEN SARAY ROJAS CUPITRA</t>
        </is>
      </c>
      <c r="E73" s="2" t="inlineStr">
        <is>
          <t>1027301172</t>
        </is>
      </c>
      <c r="F73" s="2" t="n">
        <v>3</v>
      </c>
      <c r="G73" s="2" t="n">
        <v>301</v>
      </c>
      <c r="H73" s="2" t="inlineStr">
        <is>
          <t>LENGUAJE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B</t>
        </is>
      </c>
      <c r="L73" s="3" t="inlineStr">
        <is>
          <t>CORRECTO</t>
        </is>
      </c>
      <c r="M73" s="2" t="inlineStr">
        <is>
          <t>B</t>
        </is>
      </c>
      <c r="N73" s="3" t="inlineStr">
        <is>
          <t>CORRECTO</t>
        </is>
      </c>
      <c r="O73" s="2" t="inlineStr">
        <is>
          <t>C</t>
        </is>
      </c>
      <c r="P73" s="3" t="inlineStr">
        <is>
          <t>CORRECTO</t>
        </is>
      </c>
      <c r="Q73" s="2" t="inlineStr">
        <is>
          <t>C</t>
        </is>
      </c>
      <c r="R73" s="3" t="inlineStr">
        <is>
          <t>CORRECTO</t>
        </is>
      </c>
      <c r="S73" s="2" t="inlineStr">
        <is>
          <t>B</t>
        </is>
      </c>
      <c r="T73" s="3" t="inlineStr">
        <is>
          <t>CORRECTO</t>
        </is>
      </c>
      <c r="U73" s="2" t="inlineStr">
        <is>
          <t>C</t>
        </is>
      </c>
      <c r="V73" s="3" t="inlineStr">
        <is>
          <t>CORRECTO</t>
        </is>
      </c>
      <c r="W73" s="2" t="inlineStr">
        <is>
          <t>C</t>
        </is>
      </c>
      <c r="X73" s="3" t="inlineStr">
        <is>
          <t>CORRECTO</t>
        </is>
      </c>
      <c r="Y73" s="2" t="inlineStr">
        <is>
          <t>B</t>
        </is>
      </c>
      <c r="Z73" s="3" t="inlineStr">
        <is>
          <t>CORRECTO</t>
        </is>
      </c>
      <c r="AA73" s="2" t="inlineStr">
        <is>
          <t>C</t>
        </is>
      </c>
      <c r="AB73" s="3" t="inlineStr">
        <is>
          <t>CORRECTO</t>
        </is>
      </c>
      <c r="AC73" s="2" t="inlineStr">
        <is>
          <t>C</t>
        </is>
      </c>
      <c r="AD73" s="3" t="inlineStr">
        <is>
          <t>CORRECTO</t>
        </is>
      </c>
      <c r="AE73" s="2" t="inlineStr">
        <is>
          <t>B</t>
        </is>
      </c>
      <c r="AF73" s="3" t="inlineStr">
        <is>
          <t>CORRECTO</t>
        </is>
      </c>
      <c r="AG73" s="2" t="inlineStr">
        <is>
          <t>A</t>
        </is>
      </c>
      <c r="AH73" s="3" t="inlineStr">
        <is>
          <t>CORRECTO</t>
        </is>
      </c>
      <c r="AI73" s="2" t="inlineStr">
        <is>
          <t>B</t>
        </is>
      </c>
      <c r="AJ73" s="3" t="inlineStr">
        <is>
          <t>CORRECTO</t>
        </is>
      </c>
      <c r="AK73" s="2" t="inlineStr">
        <is>
          <t>A</t>
        </is>
      </c>
      <c r="AL73" s="3" t="inlineStr">
        <is>
          <t>CORRECTO</t>
        </is>
      </c>
      <c r="AM73" s="5">
        <f>COUNTIF(J73:AL73,"CORRECTO")</f>
        <v/>
      </c>
      <c r="AN73" s="5">
        <f>COUNTIF(J73:AL73,"INCORRECTO")</f>
        <v/>
      </c>
      <c r="AO73" s="5" t="n">
        <v>15</v>
      </c>
      <c r="AP73" s="6">
        <f>AM73/AO73</f>
        <v/>
      </c>
    </row>
    <row r="74">
      <c r="A74" s="2" t="inlineStr">
        <is>
          <t>TRATADO</t>
        </is>
      </c>
      <c r="B74" s="2" t="inlineStr">
        <is>
          <t>111001100013</t>
        </is>
      </c>
      <c r="C74" s="2" t="inlineStr">
        <is>
          <t>COLEGIO BUENAVISTA (IED)</t>
        </is>
      </c>
      <c r="D74" s="2" t="inlineStr">
        <is>
          <t>EILEM SARAY PEÑA OYOLA</t>
        </is>
      </c>
      <c r="E74" s="2" t="inlineStr">
        <is>
          <t>1075600912</t>
        </is>
      </c>
      <c r="F74" s="2" t="n">
        <v>3</v>
      </c>
      <c r="G74" s="2" t="n">
        <v>301</v>
      </c>
      <c r="H74" s="2" t="inlineStr">
        <is>
          <t>LENGUAJE</t>
        </is>
      </c>
      <c r="I74" s="2" t="inlineStr">
        <is>
          <t>B</t>
        </is>
      </c>
      <c r="J74" s="3" t="inlineStr">
        <is>
          <t>CORRECTO</t>
        </is>
      </c>
      <c r="K74" s="2" t="inlineStr">
        <is>
          <t>B</t>
        </is>
      </c>
      <c r="L74" s="3" t="inlineStr">
        <is>
          <t>CORRECTO</t>
        </is>
      </c>
      <c r="M74" s="2" t="inlineStr">
        <is>
          <t>B</t>
        </is>
      </c>
      <c r="N74" s="3" t="inlineStr">
        <is>
          <t>CORRECTO</t>
        </is>
      </c>
      <c r="O74" s="2" t="inlineStr">
        <is>
          <t>C</t>
        </is>
      </c>
      <c r="P74" s="3" t="inlineStr">
        <is>
          <t>CORRECTO</t>
        </is>
      </c>
      <c r="Q74" s="2" t="inlineStr">
        <is>
          <t>C</t>
        </is>
      </c>
      <c r="R74" s="3" t="inlineStr">
        <is>
          <t>CORRECTO</t>
        </is>
      </c>
      <c r="S74" s="2" t="inlineStr">
        <is>
          <t>B</t>
        </is>
      </c>
      <c r="T74" s="3" t="inlineStr">
        <is>
          <t>CORRECTO</t>
        </is>
      </c>
      <c r="U74" s="2" t="inlineStr">
        <is>
          <t>C</t>
        </is>
      </c>
      <c r="V74" s="3" t="inlineStr">
        <is>
          <t>CORRECTO</t>
        </is>
      </c>
      <c r="W74" s="2" t="inlineStr">
        <is>
          <t>C</t>
        </is>
      </c>
      <c r="X74" s="3" t="inlineStr">
        <is>
          <t>CORRECTO</t>
        </is>
      </c>
      <c r="Y74" s="2" t="inlineStr">
        <is>
          <t>B</t>
        </is>
      </c>
      <c r="Z74" s="3" t="inlineStr">
        <is>
          <t>CORRECTO</t>
        </is>
      </c>
      <c r="AA74" s="2" t="inlineStr">
        <is>
          <t>C</t>
        </is>
      </c>
      <c r="AB74" s="3" t="inlineStr">
        <is>
          <t>CORRECTO</t>
        </is>
      </c>
      <c r="AC74" s="2" t="inlineStr"/>
      <c r="AD74" s="4" t="inlineStr">
        <is>
          <t>INCORRECTO</t>
        </is>
      </c>
      <c r="AE74" s="2" t="inlineStr"/>
      <c r="AF74" s="4" t="inlineStr">
        <is>
          <t>INCORRECTO</t>
        </is>
      </c>
      <c r="AG74" s="2" t="inlineStr"/>
      <c r="AH74" s="4" t="inlineStr">
        <is>
          <t>INCORRECTO</t>
        </is>
      </c>
      <c r="AI74" s="2" t="inlineStr"/>
      <c r="AJ74" s="4" t="inlineStr">
        <is>
          <t>INCORRECTO</t>
        </is>
      </c>
      <c r="AK74" s="2" t="inlineStr"/>
      <c r="AL74" s="4" t="inlineStr">
        <is>
          <t>INCORRECTO</t>
        </is>
      </c>
      <c r="AM74" s="5">
        <f>COUNTIF(J74:AL74,"CORRECTO")</f>
        <v/>
      </c>
      <c r="AN74" s="5">
        <f>COUNTIF(J74:AL74,"INCORRECTO")</f>
        <v/>
      </c>
      <c r="AO74" s="5" t="n">
        <v>15</v>
      </c>
      <c r="AP74" s="6">
        <f>AM74/AO74</f>
        <v/>
      </c>
    </row>
    <row r="75">
      <c r="A75" s="2" t="inlineStr">
        <is>
          <t>TRATADO</t>
        </is>
      </c>
      <c r="B75" s="2" t="inlineStr">
        <is>
          <t>111001100013</t>
        </is>
      </c>
      <c r="C75" s="2" t="inlineStr">
        <is>
          <t>COLEGIO BUENAVISTA (IED)</t>
        </is>
      </c>
      <c r="D75" s="2" t="inlineStr">
        <is>
          <t>THIAGO ALEJANDRO GARCIA CASTAÑO</t>
        </is>
      </c>
      <c r="E75" s="2" t="inlineStr">
        <is>
          <t>1027538151</t>
        </is>
      </c>
      <c r="F75" s="2" t="n">
        <v>3</v>
      </c>
      <c r="G75" s="2" t="n">
        <v>301</v>
      </c>
      <c r="H75" s="2" t="inlineStr">
        <is>
          <t>LENGUAJE</t>
        </is>
      </c>
      <c r="I75" s="2" t="inlineStr">
        <is>
          <t>B</t>
        </is>
      </c>
      <c r="J75" s="3" t="inlineStr">
        <is>
          <t>CORRECTO</t>
        </is>
      </c>
      <c r="K75" s="2" t="inlineStr">
        <is>
          <t>B</t>
        </is>
      </c>
      <c r="L75" s="3" t="inlineStr">
        <is>
          <t>CORRECTO</t>
        </is>
      </c>
      <c r="M75" s="2" t="inlineStr">
        <is>
          <t>B</t>
        </is>
      </c>
      <c r="N75" s="3" t="inlineStr">
        <is>
          <t>CORRECTO</t>
        </is>
      </c>
      <c r="O75" s="2" t="inlineStr">
        <is>
          <t>C</t>
        </is>
      </c>
      <c r="P75" s="3" t="inlineStr">
        <is>
          <t>CORRECTO</t>
        </is>
      </c>
      <c r="Q75" s="2" t="inlineStr">
        <is>
          <t>C</t>
        </is>
      </c>
      <c r="R75" s="3" t="inlineStr">
        <is>
          <t>CORRECTO</t>
        </is>
      </c>
      <c r="S75" s="2" t="inlineStr">
        <is>
          <t>B</t>
        </is>
      </c>
      <c r="T75" s="3" t="inlineStr">
        <is>
          <t>CORRECTO</t>
        </is>
      </c>
      <c r="U75" s="2" t="inlineStr">
        <is>
          <t>C</t>
        </is>
      </c>
      <c r="V75" s="3" t="inlineStr">
        <is>
          <t>CORRECTO</t>
        </is>
      </c>
      <c r="W75" s="2" t="inlineStr">
        <is>
          <t>C</t>
        </is>
      </c>
      <c r="X75" s="3" t="inlineStr">
        <is>
          <t>CORRECTO</t>
        </is>
      </c>
      <c r="Y75" s="2" t="inlineStr">
        <is>
          <t>B</t>
        </is>
      </c>
      <c r="Z75" s="3" t="inlineStr">
        <is>
          <t>CORRECTO</t>
        </is>
      </c>
      <c r="AA75" s="2" t="inlineStr">
        <is>
          <t>C</t>
        </is>
      </c>
      <c r="AB75" s="3" t="inlineStr">
        <is>
          <t>CORRECTO</t>
        </is>
      </c>
      <c r="AC75" s="2" t="inlineStr">
        <is>
          <t>A</t>
        </is>
      </c>
      <c r="AD75" s="4" t="inlineStr">
        <is>
          <t>INCORRECTO</t>
        </is>
      </c>
      <c r="AE75" s="2" t="inlineStr">
        <is>
          <t>B</t>
        </is>
      </c>
      <c r="AF75" s="3" t="inlineStr">
        <is>
          <t>CORRECTO</t>
        </is>
      </c>
      <c r="AG75" s="2" t="inlineStr">
        <is>
          <t>A</t>
        </is>
      </c>
      <c r="AH75" s="3" t="inlineStr">
        <is>
          <t>CORRECTO</t>
        </is>
      </c>
      <c r="AI75" s="2" t="inlineStr">
        <is>
          <t>B</t>
        </is>
      </c>
      <c r="AJ75" s="3" t="inlineStr">
        <is>
          <t>CORRECTO</t>
        </is>
      </c>
      <c r="AK75" s="2" t="inlineStr">
        <is>
          <t>A</t>
        </is>
      </c>
      <c r="AL75" s="3" t="inlineStr">
        <is>
          <t>CORRECTO</t>
        </is>
      </c>
      <c r="AM75" s="5">
        <f>COUNTIF(J75:AL75,"CORRECTO")</f>
        <v/>
      </c>
      <c r="AN75" s="5">
        <f>COUNTIF(J75:AL75,"INCORRECTO")</f>
        <v/>
      </c>
      <c r="AO75" s="5" t="n">
        <v>15</v>
      </c>
      <c r="AP75" s="6">
        <f>AM75/AO75</f>
        <v/>
      </c>
    </row>
    <row r="76">
      <c r="A76" s="2" t="inlineStr">
        <is>
          <t>TRATADO</t>
        </is>
      </c>
      <c r="B76" s="2" t="inlineStr">
        <is>
          <t>111001100013</t>
        </is>
      </c>
      <c r="C76" s="2" t="inlineStr">
        <is>
          <t>COLEGIO BUENAVISTA (IED)</t>
        </is>
      </c>
      <c r="D76" s="2" t="inlineStr">
        <is>
          <t>NICOLAS DAVID GOMEZ PACHECO</t>
        </is>
      </c>
      <c r="E76" s="2" t="inlineStr">
        <is>
          <t>1025562445</t>
        </is>
      </c>
      <c r="F76" s="2" t="n">
        <v>3</v>
      </c>
      <c r="G76" s="2" t="n">
        <v>301</v>
      </c>
      <c r="H76" s="2" t="inlineStr">
        <is>
          <t>LENGUAJE</t>
        </is>
      </c>
      <c r="I76" s="2" t="inlineStr">
        <is>
          <t>B</t>
        </is>
      </c>
      <c r="J76" s="3" t="inlineStr">
        <is>
          <t>CORRECTO</t>
        </is>
      </c>
      <c r="K76" s="2" t="inlineStr">
        <is>
          <t>B</t>
        </is>
      </c>
      <c r="L76" s="3" t="inlineStr">
        <is>
          <t>CORRECTO</t>
        </is>
      </c>
      <c r="M76" s="2" t="inlineStr">
        <is>
          <t>B</t>
        </is>
      </c>
      <c r="N76" s="3" t="inlineStr">
        <is>
          <t>CORRECTO</t>
        </is>
      </c>
      <c r="O76" s="2" t="inlineStr">
        <is>
          <t>C</t>
        </is>
      </c>
      <c r="P76" s="3" t="inlineStr">
        <is>
          <t>CORRECTO</t>
        </is>
      </c>
      <c r="Q76" s="2" t="inlineStr">
        <is>
          <t>C</t>
        </is>
      </c>
      <c r="R76" s="3" t="inlineStr">
        <is>
          <t>CORRECTO</t>
        </is>
      </c>
      <c r="S76" s="2" t="inlineStr">
        <is>
          <t>B</t>
        </is>
      </c>
      <c r="T76" s="3" t="inlineStr">
        <is>
          <t>CORRECTO</t>
        </is>
      </c>
      <c r="U76" s="2" t="inlineStr">
        <is>
          <t>C</t>
        </is>
      </c>
      <c r="V76" s="3" t="inlineStr">
        <is>
          <t>CORRECTO</t>
        </is>
      </c>
      <c r="W76" s="2" t="inlineStr">
        <is>
          <t>C</t>
        </is>
      </c>
      <c r="X76" s="3" t="inlineStr">
        <is>
          <t>CORRECTO</t>
        </is>
      </c>
      <c r="Y76" s="2" t="inlineStr">
        <is>
          <t>B</t>
        </is>
      </c>
      <c r="Z76" s="3" t="inlineStr">
        <is>
          <t>CORRECTO</t>
        </is>
      </c>
      <c r="AA76" s="2" t="inlineStr">
        <is>
          <t>C</t>
        </is>
      </c>
      <c r="AB76" s="3" t="inlineStr">
        <is>
          <t>CORRECTO</t>
        </is>
      </c>
      <c r="AC76" s="2" t="inlineStr">
        <is>
          <t>C</t>
        </is>
      </c>
      <c r="AD76" s="3" t="inlineStr">
        <is>
          <t>CORRECTO</t>
        </is>
      </c>
      <c r="AE76" s="2" t="inlineStr">
        <is>
          <t>D</t>
        </is>
      </c>
      <c r="AF76" s="4" t="inlineStr">
        <is>
          <t>INCORRECTO</t>
        </is>
      </c>
      <c r="AG76" s="2" t="inlineStr">
        <is>
          <t>D</t>
        </is>
      </c>
      <c r="AH76" s="4" t="inlineStr">
        <is>
          <t>INCORRECTO</t>
        </is>
      </c>
      <c r="AI76" s="2" t="inlineStr">
        <is>
          <t>D</t>
        </is>
      </c>
      <c r="AJ76" s="4" t="inlineStr">
        <is>
          <t>INCORRECTO</t>
        </is>
      </c>
      <c r="AK76" s="2" t="inlineStr">
        <is>
          <t>B</t>
        </is>
      </c>
      <c r="AL76" s="4" t="inlineStr">
        <is>
          <t>INCORRECTO</t>
        </is>
      </c>
      <c r="AM76" s="5">
        <f>COUNTIF(J76:AL76,"CORRECTO")</f>
        <v/>
      </c>
      <c r="AN76" s="5">
        <f>COUNTIF(J76:AL76,"INCORRECTO")</f>
        <v/>
      </c>
      <c r="AO76" s="5" t="n">
        <v>15</v>
      </c>
      <c r="AP76" s="6">
        <f>AM76/AO76</f>
        <v/>
      </c>
    </row>
    <row r="77">
      <c r="A77" s="2" t="inlineStr">
        <is>
          <t>TRATADO</t>
        </is>
      </c>
      <c r="B77" s="2" t="inlineStr">
        <is>
          <t>111001100013</t>
        </is>
      </c>
      <c r="C77" s="2" t="inlineStr">
        <is>
          <t>COLEGIO BUENAVISTA (IED)</t>
        </is>
      </c>
      <c r="D77" s="2" t="inlineStr">
        <is>
          <t>SAMUEL MATHIAS BEJARANO BERNAL</t>
        </is>
      </c>
      <c r="E77" s="2" t="inlineStr">
        <is>
          <t>1023040531</t>
        </is>
      </c>
      <c r="F77" s="2" t="n">
        <v>3</v>
      </c>
      <c r="G77" s="2" t="n">
        <v>301</v>
      </c>
      <c r="H77" s="2" t="inlineStr">
        <is>
          <t>LENGUAJE</t>
        </is>
      </c>
      <c r="I77" s="2" t="inlineStr">
        <is>
          <t>B</t>
        </is>
      </c>
      <c r="J77" s="3" t="inlineStr">
        <is>
          <t>CORRECTO</t>
        </is>
      </c>
      <c r="K77" s="2" t="inlineStr">
        <is>
          <t>B</t>
        </is>
      </c>
      <c r="L77" s="3" t="inlineStr">
        <is>
          <t>CORRECTO</t>
        </is>
      </c>
      <c r="M77" s="2" t="inlineStr">
        <is>
          <t>B</t>
        </is>
      </c>
      <c r="N77" s="3" t="inlineStr">
        <is>
          <t>CORRECTO</t>
        </is>
      </c>
      <c r="O77" s="2" t="inlineStr">
        <is>
          <t>C</t>
        </is>
      </c>
      <c r="P77" s="3" t="inlineStr">
        <is>
          <t>CORRECTO</t>
        </is>
      </c>
      <c r="Q77" s="2" t="inlineStr">
        <is>
          <t>C</t>
        </is>
      </c>
      <c r="R77" s="3" t="inlineStr">
        <is>
          <t>CORRECTO</t>
        </is>
      </c>
      <c r="S77" s="2" t="inlineStr">
        <is>
          <t>B</t>
        </is>
      </c>
      <c r="T77" s="3" t="inlineStr">
        <is>
          <t>CORRECTO</t>
        </is>
      </c>
      <c r="U77" s="2" t="inlineStr">
        <is>
          <t>C</t>
        </is>
      </c>
      <c r="V77" s="3" t="inlineStr">
        <is>
          <t>CORRECTO</t>
        </is>
      </c>
      <c r="W77" s="2" t="inlineStr">
        <is>
          <t>C</t>
        </is>
      </c>
      <c r="X77" s="3" t="inlineStr">
        <is>
          <t>CORRECTO</t>
        </is>
      </c>
      <c r="Y77" s="2" t="inlineStr">
        <is>
          <t>B</t>
        </is>
      </c>
      <c r="Z77" s="3" t="inlineStr">
        <is>
          <t>CORRECTO</t>
        </is>
      </c>
      <c r="AA77" s="2" t="inlineStr">
        <is>
          <t>C</t>
        </is>
      </c>
      <c r="AB77" s="3" t="inlineStr">
        <is>
          <t>CORRECTO</t>
        </is>
      </c>
      <c r="AC77" s="2" t="inlineStr">
        <is>
          <t>C</t>
        </is>
      </c>
      <c r="AD77" s="3" t="inlineStr">
        <is>
          <t>CORRECTO</t>
        </is>
      </c>
      <c r="AE77" s="2" t="inlineStr">
        <is>
          <t>B</t>
        </is>
      </c>
      <c r="AF77" s="3" t="inlineStr">
        <is>
          <t>CORRECTO</t>
        </is>
      </c>
      <c r="AG77" s="2" t="inlineStr"/>
      <c r="AH77" s="4" t="inlineStr">
        <is>
          <t>INCORRECTO</t>
        </is>
      </c>
      <c r="AI77" s="2" t="inlineStr"/>
      <c r="AJ77" s="4" t="inlineStr">
        <is>
          <t>INCORRECTO</t>
        </is>
      </c>
      <c r="AK77" s="2" t="inlineStr"/>
      <c r="AL77" s="4" t="inlineStr">
        <is>
          <t>INCORRECTO</t>
        </is>
      </c>
      <c r="AM77" s="5">
        <f>COUNTIF(J77:AL77,"CORRECTO")</f>
        <v/>
      </c>
      <c r="AN77" s="5">
        <f>COUNTIF(J77:AL77,"INCORRECTO")</f>
        <v/>
      </c>
      <c r="AO77" s="5" t="n">
        <v>15</v>
      </c>
      <c r="AP77" s="6">
        <f>AM77/AO77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2026-06-19T17:09:07Z</dcterms:created>
  <dcterms:modified xmlns:dcterms="http://purl.org/dc/terms/" xmlns:xsi="http://www.w3.org/2001/XMLSchema-instance" xsi:type="dcterms:W3CDTF">2026-06-19T17:09:07Z</dcterms:modified>
</cp:coreProperties>
</file>