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valuacion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FFFFFF"/>
      <sz val="10"/>
    </font>
    <font>
      <name val="Calibri"/>
      <sz val="10"/>
    </font>
    <font>
      <name val="Calibri"/>
      <b val="1"/>
      <color rgb="009C0006"/>
      <sz val="10"/>
    </font>
    <font>
      <name val="Calibri"/>
      <b val="1"/>
      <color rgb="00375623"/>
      <sz val="10"/>
    </font>
    <font>
      <name val="Calibri"/>
      <b val="1"/>
      <sz val="10"/>
    </font>
  </fonts>
  <fills count="5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FC7CE"/>
      </patternFill>
    </fill>
    <fill>
      <patternFill patternType="solid">
        <fgColor rgb="00C6EFCE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10" fontId="5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8" customWidth="1" min="2" max="2"/>
    <col width="30" customWidth="1" min="3" max="3"/>
    <col width="34" customWidth="1" min="4" max="4"/>
    <col width="14" customWidth="1" min="5" max="5"/>
    <col width="8" customWidth="1" min="6" max="6"/>
    <col width="8" customWidth="1" min="7" max="7"/>
    <col width="14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2" customWidth="1" min="49" max="49"/>
    <col width="12" customWidth="1" min="50" max="50"/>
    <col width="12" customWidth="1" min="51" max="51"/>
    <col width="18" customWidth="1" min="52" max="52"/>
  </cols>
  <sheetData>
    <row r="1" ht="28" customHeight="1">
      <c r="A1" s="1" t="inlineStr">
        <is>
          <t>TIPO</t>
        </is>
      </c>
      <c r="B1" s="1" t="inlineStr">
        <is>
          <t>CÓDIGO DANE SEDE</t>
        </is>
      </c>
      <c r="C1" s="1" t="inlineStr">
        <is>
          <t>NOMBRE SEDE</t>
        </is>
      </c>
      <c r="D1" s="1" t="inlineStr">
        <is>
          <t>NOMBRES ESTUDIANTE</t>
        </is>
      </c>
      <c r="E1" s="1" t="inlineStr">
        <is>
          <t>CÓD. EST.</t>
        </is>
      </c>
      <c r="F1" s="1" t="inlineStr">
        <is>
          <t>GRADO</t>
        </is>
      </c>
      <c r="G1" s="1" t="inlineStr">
        <is>
          <t>CURSO</t>
        </is>
      </c>
      <c r="H1" s="1" t="inlineStr">
        <is>
          <t>PRUEBA</t>
        </is>
      </c>
      <c r="I1" s="1" t="inlineStr">
        <is>
          <t>P01</t>
        </is>
      </c>
      <c r="J1" s="1" t="inlineStr">
        <is>
          <t>P01_EVAL</t>
        </is>
      </c>
      <c r="K1" s="1" t="inlineStr">
        <is>
          <t>P02</t>
        </is>
      </c>
      <c r="L1" s="1" t="inlineStr">
        <is>
          <t>P02_EVAL</t>
        </is>
      </c>
      <c r="M1" s="1" t="inlineStr">
        <is>
          <t>P03</t>
        </is>
      </c>
      <c r="N1" s="1" t="inlineStr">
        <is>
          <t>P03_EVAL</t>
        </is>
      </c>
      <c r="O1" s="1" t="inlineStr">
        <is>
          <t>P04</t>
        </is>
      </c>
      <c r="P1" s="1" t="inlineStr">
        <is>
          <t>P04_EVAL</t>
        </is>
      </c>
      <c r="Q1" s="1" t="inlineStr">
        <is>
          <t>P05</t>
        </is>
      </c>
      <c r="R1" s="1" t="inlineStr">
        <is>
          <t>P05_EVAL</t>
        </is>
      </c>
      <c r="S1" s="1" t="inlineStr">
        <is>
          <t>P06</t>
        </is>
      </c>
      <c r="T1" s="1" t="inlineStr">
        <is>
          <t>P06_EVAL</t>
        </is>
      </c>
      <c r="U1" s="1" t="inlineStr">
        <is>
          <t>P07</t>
        </is>
      </c>
      <c r="V1" s="1" t="inlineStr">
        <is>
          <t>P07_EVAL</t>
        </is>
      </c>
      <c r="W1" s="1" t="inlineStr">
        <is>
          <t>P08</t>
        </is>
      </c>
      <c r="X1" s="1" t="inlineStr">
        <is>
          <t>P08_EVAL</t>
        </is>
      </c>
      <c r="Y1" s="1" t="inlineStr">
        <is>
          <t>P09</t>
        </is>
      </c>
      <c r="Z1" s="1" t="inlineStr">
        <is>
          <t>P09_EVAL</t>
        </is>
      </c>
      <c r="AA1" s="1" t="inlineStr">
        <is>
          <t>P10</t>
        </is>
      </c>
      <c r="AB1" s="1" t="inlineStr">
        <is>
          <t>P10_EVAL</t>
        </is>
      </c>
      <c r="AC1" s="1" t="inlineStr">
        <is>
          <t>P11</t>
        </is>
      </c>
      <c r="AD1" s="1" t="inlineStr">
        <is>
          <t>P11_EVAL</t>
        </is>
      </c>
      <c r="AE1" s="1" t="inlineStr">
        <is>
          <t>P12</t>
        </is>
      </c>
      <c r="AF1" s="1" t="inlineStr">
        <is>
          <t>P12_EVAL</t>
        </is>
      </c>
      <c r="AG1" s="1" t="inlineStr">
        <is>
          <t>P13</t>
        </is>
      </c>
      <c r="AH1" s="1" t="inlineStr">
        <is>
          <t>P13_EVAL</t>
        </is>
      </c>
      <c r="AI1" s="1" t="inlineStr">
        <is>
          <t>P14</t>
        </is>
      </c>
      <c r="AJ1" s="1" t="inlineStr">
        <is>
          <t>P14_EVAL</t>
        </is>
      </c>
      <c r="AK1" s="1" t="inlineStr">
        <is>
          <t>P15</t>
        </is>
      </c>
      <c r="AL1" s="1" t="inlineStr">
        <is>
          <t>P15_EVAL</t>
        </is>
      </c>
      <c r="AM1" s="1" t="inlineStr">
        <is>
          <t>P16</t>
        </is>
      </c>
      <c r="AN1" s="1" t="inlineStr">
        <is>
          <t>P16_EVAL</t>
        </is>
      </c>
      <c r="AO1" s="1" t="inlineStr">
        <is>
          <t>P17</t>
        </is>
      </c>
      <c r="AP1" s="1" t="inlineStr">
        <is>
          <t>P17_EVAL</t>
        </is>
      </c>
      <c r="AQ1" s="1" t="inlineStr">
        <is>
          <t>P18</t>
        </is>
      </c>
      <c r="AR1" s="1" t="inlineStr">
        <is>
          <t>P18_EVAL</t>
        </is>
      </c>
      <c r="AS1" s="1" t="inlineStr">
        <is>
          <t>P19</t>
        </is>
      </c>
      <c r="AT1" s="1" t="inlineStr">
        <is>
          <t>P19_EVAL</t>
        </is>
      </c>
      <c r="AU1" s="1" t="inlineStr">
        <is>
          <t>P20</t>
        </is>
      </c>
      <c r="AV1" s="1" t="inlineStr">
        <is>
          <t>P20_EVAL</t>
        </is>
      </c>
      <c r="AW1" s="1" t="inlineStr">
        <is>
          <t>CORRECTAS</t>
        </is>
      </c>
      <c r="AX1" s="1" t="inlineStr">
        <is>
          <t>INCORRECTAS</t>
        </is>
      </c>
      <c r="AY1" s="1" t="inlineStr">
        <is>
          <t>TOTAL_EVAL</t>
        </is>
      </c>
      <c r="AZ1" s="1" t="inlineStr">
        <is>
          <t>PORCENTAJE ACIERTO</t>
        </is>
      </c>
    </row>
    <row r="2">
      <c r="A2" s="2" t="inlineStr">
        <is>
          <t>TRATADO</t>
        </is>
      </c>
      <c r="B2" s="2" t="inlineStr">
        <is>
          <t>111001800392</t>
        </is>
      </c>
      <c r="C2" s="2" t="inlineStr">
        <is>
          <t>COLEGIO SOLEDAD ACOSTA DE SAMPER (IED) - SEDE PRINCIPAL</t>
        </is>
      </c>
      <c r="D2" s="2" t="inlineStr">
        <is>
          <t>MISHELL ALEJANDRA HOYOS CIFUENTES</t>
        </is>
      </c>
      <c r="E2" s="2" t="inlineStr">
        <is>
          <t>1014292246</t>
        </is>
      </c>
      <c r="F2" s="2" t="n">
        <v>5</v>
      </c>
      <c r="G2" s="2" t="n">
        <v>501</v>
      </c>
      <c r="H2" s="2" t="inlineStr">
        <is>
          <t>MATEMÁTICAS</t>
        </is>
      </c>
      <c r="I2" s="2" t="inlineStr">
        <is>
          <t>B</t>
        </is>
      </c>
      <c r="J2" s="3" t="inlineStr">
        <is>
          <t>INCORRECTO</t>
        </is>
      </c>
      <c r="K2" s="2" t="inlineStr">
        <is>
          <t>A</t>
        </is>
      </c>
      <c r="L2" s="3" t="inlineStr">
        <is>
          <t>INCORRECTO</t>
        </is>
      </c>
      <c r="M2" s="2" t="inlineStr">
        <is>
          <t>C</t>
        </is>
      </c>
      <c r="N2" s="4" t="inlineStr">
        <is>
          <t>CORRECTO</t>
        </is>
      </c>
      <c r="O2" s="2" t="inlineStr">
        <is>
          <t>D</t>
        </is>
      </c>
      <c r="P2" s="3" t="inlineStr">
        <is>
          <t>INCORRECTO</t>
        </is>
      </c>
      <c r="Q2" s="2" t="inlineStr">
        <is>
          <t>A</t>
        </is>
      </c>
      <c r="R2" s="3" t="inlineStr">
        <is>
          <t>INCORRECTO</t>
        </is>
      </c>
      <c r="S2" s="2" t="inlineStr">
        <is>
          <t>D</t>
        </is>
      </c>
      <c r="T2" s="3" t="inlineStr">
        <is>
          <t>INCORRECTO</t>
        </is>
      </c>
      <c r="U2" s="2" t="inlineStr">
        <is>
          <t>A</t>
        </is>
      </c>
      <c r="V2" s="3" t="inlineStr">
        <is>
          <t>INCORRECTO</t>
        </is>
      </c>
      <c r="W2" s="2" t="inlineStr">
        <is>
          <t>B</t>
        </is>
      </c>
      <c r="X2" s="3" t="inlineStr">
        <is>
          <t>INCORRECTO</t>
        </is>
      </c>
      <c r="Y2" s="2" t="inlineStr">
        <is>
          <t>A</t>
        </is>
      </c>
      <c r="Z2" s="3" t="inlineStr">
        <is>
          <t>INCORRECTO</t>
        </is>
      </c>
      <c r="AA2" s="2" t="inlineStr">
        <is>
          <t>C</t>
        </is>
      </c>
      <c r="AB2" s="4" t="inlineStr">
        <is>
          <t>CORRECTO</t>
        </is>
      </c>
      <c r="AC2" s="2" t="inlineStr">
        <is>
          <t>C</t>
        </is>
      </c>
      <c r="AD2" s="3" t="inlineStr">
        <is>
          <t>INCORRECTO</t>
        </is>
      </c>
      <c r="AE2" s="2" t="inlineStr">
        <is>
          <t>D</t>
        </is>
      </c>
      <c r="AF2" s="3" t="inlineStr">
        <is>
          <t>INCORRECTO</t>
        </is>
      </c>
      <c r="AG2" s="2" t="inlineStr">
        <is>
          <t>A</t>
        </is>
      </c>
      <c r="AH2" s="3" t="inlineStr">
        <is>
          <t>INCORRECTO</t>
        </is>
      </c>
      <c r="AI2" s="2" t="inlineStr">
        <is>
          <t>B</t>
        </is>
      </c>
      <c r="AJ2" s="3" t="inlineStr">
        <is>
          <t>INCORRECTO</t>
        </is>
      </c>
      <c r="AK2" s="2" t="inlineStr">
        <is>
          <t>C</t>
        </is>
      </c>
      <c r="AL2" s="4" t="inlineStr">
        <is>
          <t>CORRECTO</t>
        </is>
      </c>
      <c r="AM2" s="2" t="inlineStr">
        <is>
          <t>D</t>
        </is>
      </c>
      <c r="AN2" s="3" t="inlineStr">
        <is>
          <t>INCORRECTO</t>
        </is>
      </c>
      <c r="AO2" s="2" t="inlineStr">
        <is>
          <t>A</t>
        </is>
      </c>
      <c r="AP2" s="3" t="inlineStr">
        <is>
          <t>INCORRECTO</t>
        </is>
      </c>
      <c r="AQ2" s="2" t="inlineStr">
        <is>
          <t>B</t>
        </is>
      </c>
      <c r="AR2" s="4" t="inlineStr">
        <is>
          <t>CORRECTO</t>
        </is>
      </c>
      <c r="AS2" s="2" t="inlineStr">
        <is>
          <t>C</t>
        </is>
      </c>
      <c r="AT2" s="3" t="inlineStr">
        <is>
          <t>INCORRECTO</t>
        </is>
      </c>
      <c r="AU2" s="2" t="inlineStr">
        <is>
          <t>D</t>
        </is>
      </c>
      <c r="AV2" s="3" t="inlineStr">
        <is>
          <t>INCORRECTO</t>
        </is>
      </c>
      <c r="AW2" s="5">
        <f>COUNTIF(J2:AV2,"CORRECTO")</f>
        <v/>
      </c>
      <c r="AX2" s="5">
        <f>COUNTIF(J2:AV2,"INCORRECTO")</f>
        <v/>
      </c>
      <c r="AY2" s="5" t="n">
        <v>20</v>
      </c>
      <c r="AZ2" s="6">
        <f>AW2/AY2</f>
        <v/>
      </c>
    </row>
    <row r="3">
      <c r="A3" s="2" t="inlineStr">
        <is>
          <t>TRATADO</t>
        </is>
      </c>
      <c r="B3" s="2" t="inlineStr">
        <is>
          <t>111001800392</t>
        </is>
      </c>
      <c r="C3" s="2" t="inlineStr">
        <is>
          <t>COLEGIO SOLEDAD ACOSTA DE SAMPER (IED) - SEDE PRINCIPAL</t>
        </is>
      </c>
      <c r="D3" s="2" t="inlineStr">
        <is>
          <t>AARON ALEJANDRO GALINDO SANCHEZ</t>
        </is>
      </c>
      <c r="E3" s="2" t="inlineStr">
        <is>
          <t>1233488618</t>
        </is>
      </c>
      <c r="F3" s="2" t="n">
        <v>5</v>
      </c>
      <c r="G3" s="2" t="n">
        <v>501</v>
      </c>
      <c r="H3" s="2" t="inlineStr">
        <is>
          <t>MATEMÁTICAS</t>
        </is>
      </c>
      <c r="I3" s="2" t="inlineStr">
        <is>
          <t>C</t>
        </is>
      </c>
      <c r="J3" s="4" t="inlineStr">
        <is>
          <t>CORRECTO</t>
        </is>
      </c>
      <c r="K3" s="2" t="inlineStr">
        <is>
          <t>C</t>
        </is>
      </c>
      <c r="L3" s="3" t="inlineStr">
        <is>
          <t>INCORRECTO</t>
        </is>
      </c>
      <c r="M3" s="2" t="inlineStr">
        <is>
          <t>C</t>
        </is>
      </c>
      <c r="N3" s="4" t="inlineStr">
        <is>
          <t>CORRECTO</t>
        </is>
      </c>
      <c r="O3" s="2" t="inlineStr">
        <is>
          <t>C</t>
        </is>
      </c>
      <c r="P3" s="4" t="inlineStr">
        <is>
          <t>CORRECTO</t>
        </is>
      </c>
      <c r="Q3" s="2" t="inlineStr">
        <is>
          <t>A</t>
        </is>
      </c>
      <c r="R3" s="3" t="inlineStr">
        <is>
          <t>INCORRECTO</t>
        </is>
      </c>
      <c r="S3" s="2" t="inlineStr">
        <is>
          <t>B</t>
        </is>
      </c>
      <c r="T3" s="4" t="inlineStr">
        <is>
          <t>CORRECTO</t>
        </is>
      </c>
      <c r="U3" s="2" t="inlineStr"/>
      <c r="V3" s="3" t="inlineStr">
        <is>
          <t>INCORRECTO</t>
        </is>
      </c>
      <c r="W3" s="2" t="inlineStr">
        <is>
          <t>A</t>
        </is>
      </c>
      <c r="X3" s="3" t="inlineStr">
        <is>
          <t>INCORRECTO</t>
        </is>
      </c>
      <c r="Y3" s="2" t="inlineStr">
        <is>
          <t>B</t>
        </is>
      </c>
      <c r="Z3" s="4" t="inlineStr">
        <is>
          <t>CORRECTO</t>
        </is>
      </c>
      <c r="AA3" s="2" t="inlineStr">
        <is>
          <t>C</t>
        </is>
      </c>
      <c r="AB3" s="4" t="inlineStr">
        <is>
          <t>CORRECTO</t>
        </is>
      </c>
      <c r="AC3" s="2" t="inlineStr">
        <is>
          <t>A</t>
        </is>
      </c>
      <c r="AD3" s="3" t="inlineStr">
        <is>
          <t>INCORRECTO</t>
        </is>
      </c>
      <c r="AE3" s="2" t="inlineStr">
        <is>
          <t>B</t>
        </is>
      </c>
      <c r="AF3" s="4" t="inlineStr">
        <is>
          <t>CORRECTO</t>
        </is>
      </c>
      <c r="AG3" s="2" t="inlineStr">
        <is>
          <t>D</t>
        </is>
      </c>
      <c r="AH3" s="3" t="inlineStr">
        <is>
          <t>INCORRECTO</t>
        </is>
      </c>
      <c r="AI3" s="2" t="inlineStr">
        <is>
          <t>C</t>
        </is>
      </c>
      <c r="AJ3" s="4" t="inlineStr">
        <is>
          <t>CORRECTO</t>
        </is>
      </c>
      <c r="AK3" s="2" t="inlineStr">
        <is>
          <t>D</t>
        </is>
      </c>
      <c r="AL3" s="3" t="inlineStr">
        <is>
          <t>INCORRECTO</t>
        </is>
      </c>
      <c r="AM3" s="2" t="inlineStr">
        <is>
          <t>A</t>
        </is>
      </c>
      <c r="AN3" s="3" t="inlineStr">
        <is>
          <t>INCORRECTO</t>
        </is>
      </c>
      <c r="AO3" s="2" t="inlineStr">
        <is>
          <t>C</t>
        </is>
      </c>
      <c r="AP3" s="4" t="inlineStr">
        <is>
          <t>CORRECTO</t>
        </is>
      </c>
      <c r="AQ3" s="2" t="inlineStr">
        <is>
          <t>A</t>
        </is>
      </c>
      <c r="AR3" s="3" t="inlineStr">
        <is>
          <t>INCORRECTO</t>
        </is>
      </c>
      <c r="AS3" s="2" t="inlineStr">
        <is>
          <t>B</t>
        </is>
      </c>
      <c r="AT3" s="3" t="inlineStr">
        <is>
          <t>INCORRECTO</t>
        </is>
      </c>
      <c r="AU3" s="2" t="inlineStr">
        <is>
          <t>A</t>
        </is>
      </c>
      <c r="AV3" s="4" t="inlineStr">
        <is>
          <t>CORRECTO</t>
        </is>
      </c>
      <c r="AW3" s="5">
        <f>COUNTIF(J3:AV3,"CORRECTO")</f>
        <v/>
      </c>
      <c r="AX3" s="5">
        <f>COUNTIF(J3:AV3,"INCORRECTO")</f>
        <v/>
      </c>
      <c r="AY3" s="5" t="n">
        <v>20</v>
      </c>
      <c r="AZ3" s="6">
        <f>AW3/AY3</f>
        <v/>
      </c>
    </row>
    <row r="4">
      <c r="A4" s="2" t="inlineStr">
        <is>
          <t>TRATADO</t>
        </is>
      </c>
      <c r="B4" s="2" t="inlineStr">
        <is>
          <t>111001800392</t>
        </is>
      </c>
      <c r="C4" s="2" t="inlineStr">
        <is>
          <t>COLEGIO SOLEDAD ACOSTA DE SAMPER (IED) - SEDE PRINCIPAL</t>
        </is>
      </c>
      <c r="D4" s="2" t="inlineStr">
        <is>
          <t>DILAN STIVEN SANCHEZ GAMEZ</t>
        </is>
      </c>
      <c r="E4" s="2" t="inlineStr">
        <is>
          <t>1057919701</t>
        </is>
      </c>
      <c r="F4" s="2" t="n">
        <v>5</v>
      </c>
      <c r="G4" s="2" t="n">
        <v>501</v>
      </c>
      <c r="H4" s="2" t="inlineStr">
        <is>
          <t>MATEMÁTICAS</t>
        </is>
      </c>
      <c r="I4" s="2" t="inlineStr">
        <is>
          <t>C</t>
        </is>
      </c>
      <c r="J4" s="4" t="inlineStr">
        <is>
          <t>CORRECTO</t>
        </is>
      </c>
      <c r="K4" s="2" t="inlineStr">
        <is>
          <t>D</t>
        </is>
      </c>
      <c r="L4" s="3" t="inlineStr">
        <is>
          <t>INCORRECTO</t>
        </is>
      </c>
      <c r="M4" s="2" t="inlineStr">
        <is>
          <t>C</t>
        </is>
      </c>
      <c r="N4" s="4" t="inlineStr">
        <is>
          <t>CORRECTO</t>
        </is>
      </c>
      <c r="O4" s="2" t="inlineStr">
        <is>
          <t>C</t>
        </is>
      </c>
      <c r="P4" s="4" t="inlineStr">
        <is>
          <t>CORRECTO</t>
        </is>
      </c>
      <c r="Q4" s="2" t="inlineStr">
        <is>
          <t>B</t>
        </is>
      </c>
      <c r="R4" s="4" t="inlineStr">
        <is>
          <t>CORRECTO</t>
        </is>
      </c>
      <c r="S4" s="2" t="inlineStr">
        <is>
          <t>B</t>
        </is>
      </c>
      <c r="T4" s="4" t="inlineStr">
        <is>
          <t>CORRECTO</t>
        </is>
      </c>
      <c r="U4" s="2" t="inlineStr"/>
      <c r="V4" s="3" t="inlineStr">
        <is>
          <t>INCORRECTO</t>
        </is>
      </c>
      <c r="W4" s="2" t="inlineStr">
        <is>
          <t>A</t>
        </is>
      </c>
      <c r="X4" s="3" t="inlineStr">
        <is>
          <t>INCORRECTO</t>
        </is>
      </c>
      <c r="Y4" s="2" t="inlineStr">
        <is>
          <t>B</t>
        </is>
      </c>
      <c r="Z4" s="4" t="inlineStr">
        <is>
          <t>CORRECTO</t>
        </is>
      </c>
      <c r="AA4" s="2" t="inlineStr">
        <is>
          <t>C</t>
        </is>
      </c>
      <c r="AB4" s="4" t="inlineStr">
        <is>
          <t>CORRECTO</t>
        </is>
      </c>
      <c r="AC4" s="2" t="inlineStr">
        <is>
          <t>A</t>
        </is>
      </c>
      <c r="AD4" s="3" t="inlineStr">
        <is>
          <t>INCORRECTO</t>
        </is>
      </c>
      <c r="AE4" s="2" t="inlineStr">
        <is>
          <t>C</t>
        </is>
      </c>
      <c r="AF4" s="3" t="inlineStr">
        <is>
          <t>INCORRECTO</t>
        </is>
      </c>
      <c r="AG4" s="2" t="inlineStr">
        <is>
          <t>C</t>
        </is>
      </c>
      <c r="AH4" s="4" t="inlineStr">
        <is>
          <t>CORRECTO</t>
        </is>
      </c>
      <c r="AI4" s="2" t="inlineStr">
        <is>
          <t>C</t>
        </is>
      </c>
      <c r="AJ4" s="4" t="inlineStr">
        <is>
          <t>CORRECTO</t>
        </is>
      </c>
      <c r="AK4" s="2" t="inlineStr">
        <is>
          <t>B</t>
        </is>
      </c>
      <c r="AL4" s="3" t="inlineStr">
        <is>
          <t>INCORRECTO</t>
        </is>
      </c>
      <c r="AM4" s="2" t="inlineStr">
        <is>
          <t>C</t>
        </is>
      </c>
      <c r="AN4" s="4" t="inlineStr">
        <is>
          <t>CORRECTO</t>
        </is>
      </c>
      <c r="AO4" s="2" t="inlineStr">
        <is>
          <t>C</t>
        </is>
      </c>
      <c r="AP4" s="4" t="inlineStr">
        <is>
          <t>CORRECTO</t>
        </is>
      </c>
      <c r="AQ4" s="2" t="inlineStr">
        <is>
          <t>D</t>
        </is>
      </c>
      <c r="AR4" s="3" t="inlineStr">
        <is>
          <t>INCORRECTO</t>
        </is>
      </c>
      <c r="AS4" s="2" t="inlineStr">
        <is>
          <t>A</t>
        </is>
      </c>
      <c r="AT4" s="4" t="inlineStr">
        <is>
          <t>CORRECTO</t>
        </is>
      </c>
      <c r="AU4" s="2" t="inlineStr">
        <is>
          <t>A</t>
        </is>
      </c>
      <c r="AV4" s="4" t="inlineStr">
        <is>
          <t>CORRECTO</t>
        </is>
      </c>
      <c r="AW4" s="5">
        <f>COUNTIF(J4:AV4,"CORRECTO")</f>
        <v/>
      </c>
      <c r="AX4" s="5">
        <f>COUNTIF(J4:AV4,"INCORRECTO")</f>
        <v/>
      </c>
      <c r="AY4" s="5" t="n">
        <v>20</v>
      </c>
      <c r="AZ4" s="6">
        <f>AW4/AY4</f>
        <v/>
      </c>
    </row>
    <row r="5">
      <c r="A5" s="2" t="inlineStr">
        <is>
          <t>TRATADO</t>
        </is>
      </c>
      <c r="B5" s="2" t="inlineStr">
        <is>
          <t>111001800392</t>
        </is>
      </c>
      <c r="C5" s="2" t="inlineStr">
        <is>
          <t>COLEGIO SOLEDAD ACOSTA DE SAMPER (IED) - SEDE PRINCIPAL</t>
        </is>
      </c>
      <c r="D5" s="2" t="inlineStr">
        <is>
          <t>EMILIANA AVILES TRUJILLO</t>
        </is>
      </c>
      <c r="E5" s="2" t="inlineStr">
        <is>
          <t>1034788543</t>
        </is>
      </c>
      <c r="F5" s="2" t="n">
        <v>5</v>
      </c>
      <c r="G5" s="2" t="n">
        <v>501</v>
      </c>
      <c r="H5" s="2" t="inlineStr">
        <is>
          <t>MATEMÁTICAS</t>
        </is>
      </c>
      <c r="I5" s="2" t="inlineStr">
        <is>
          <t>A</t>
        </is>
      </c>
      <c r="J5" s="3" t="inlineStr">
        <is>
          <t>INCORRECTO</t>
        </is>
      </c>
      <c r="K5" s="2" t="inlineStr">
        <is>
          <t>A</t>
        </is>
      </c>
      <c r="L5" s="3" t="inlineStr">
        <is>
          <t>INCORRECTO</t>
        </is>
      </c>
      <c r="M5" s="2" t="inlineStr">
        <is>
          <t>C</t>
        </is>
      </c>
      <c r="N5" s="4" t="inlineStr">
        <is>
          <t>CORRECTO</t>
        </is>
      </c>
      <c r="O5" s="2" t="inlineStr">
        <is>
          <t>C</t>
        </is>
      </c>
      <c r="P5" s="4" t="inlineStr">
        <is>
          <t>CORRECTO</t>
        </is>
      </c>
      <c r="Q5" s="2" t="inlineStr">
        <is>
          <t>D</t>
        </is>
      </c>
      <c r="R5" s="3" t="inlineStr">
        <is>
          <t>INCORRECTO</t>
        </is>
      </c>
      <c r="S5" s="2" t="inlineStr">
        <is>
          <t>B</t>
        </is>
      </c>
      <c r="T5" s="4" t="inlineStr">
        <is>
          <t>CORRECTO</t>
        </is>
      </c>
      <c r="U5" s="2" t="inlineStr">
        <is>
          <t>A</t>
        </is>
      </c>
      <c r="V5" s="3" t="inlineStr">
        <is>
          <t>INCORRECTO</t>
        </is>
      </c>
      <c r="W5" s="2" t="inlineStr">
        <is>
          <t>A</t>
        </is>
      </c>
      <c r="X5" s="3" t="inlineStr">
        <is>
          <t>INCORRECTO</t>
        </is>
      </c>
      <c r="Y5" s="2" t="inlineStr">
        <is>
          <t>C</t>
        </is>
      </c>
      <c r="Z5" s="3" t="inlineStr">
        <is>
          <t>INCORRECTO</t>
        </is>
      </c>
      <c r="AA5" s="2" t="inlineStr">
        <is>
          <t>C</t>
        </is>
      </c>
      <c r="AB5" s="4" t="inlineStr">
        <is>
          <t>CORRECTO</t>
        </is>
      </c>
      <c r="AC5" s="2" t="inlineStr">
        <is>
          <t>C</t>
        </is>
      </c>
      <c r="AD5" s="3" t="inlineStr">
        <is>
          <t>INCORRECTO</t>
        </is>
      </c>
      <c r="AE5" s="2" t="inlineStr">
        <is>
          <t>B</t>
        </is>
      </c>
      <c r="AF5" s="4" t="inlineStr">
        <is>
          <t>CORRECTO</t>
        </is>
      </c>
      <c r="AG5" s="2" t="inlineStr">
        <is>
          <t>B</t>
        </is>
      </c>
      <c r="AH5" s="3" t="inlineStr">
        <is>
          <t>INCORRECTO</t>
        </is>
      </c>
      <c r="AI5" s="2" t="inlineStr">
        <is>
          <t>A</t>
        </is>
      </c>
      <c r="AJ5" s="3" t="inlineStr">
        <is>
          <t>INCORRECTO</t>
        </is>
      </c>
      <c r="AK5" s="2" t="inlineStr">
        <is>
          <t>D</t>
        </is>
      </c>
      <c r="AL5" s="3" t="inlineStr">
        <is>
          <t>INCORRECTO</t>
        </is>
      </c>
      <c r="AM5" s="2" t="inlineStr">
        <is>
          <t>C</t>
        </is>
      </c>
      <c r="AN5" s="4" t="inlineStr">
        <is>
          <t>CORRECTO</t>
        </is>
      </c>
      <c r="AO5" s="2" t="inlineStr">
        <is>
          <t>B</t>
        </is>
      </c>
      <c r="AP5" s="3" t="inlineStr">
        <is>
          <t>INCORRECTO</t>
        </is>
      </c>
      <c r="AQ5" s="2" t="inlineStr">
        <is>
          <t>A</t>
        </is>
      </c>
      <c r="AR5" s="3" t="inlineStr">
        <is>
          <t>INCORRECTO</t>
        </is>
      </c>
      <c r="AS5" s="2" t="inlineStr">
        <is>
          <t>A</t>
        </is>
      </c>
      <c r="AT5" s="4" t="inlineStr">
        <is>
          <t>CORRECTO</t>
        </is>
      </c>
      <c r="AU5" s="2" t="inlineStr">
        <is>
          <t>A</t>
        </is>
      </c>
      <c r="AV5" s="4" t="inlineStr">
        <is>
          <t>CORRECTO</t>
        </is>
      </c>
      <c r="AW5" s="5">
        <f>COUNTIF(J5:AV5,"CORRECTO")</f>
        <v/>
      </c>
      <c r="AX5" s="5">
        <f>COUNTIF(J5:AV5,"INCORRECTO")</f>
        <v/>
      </c>
      <c r="AY5" s="5" t="n">
        <v>20</v>
      </c>
      <c r="AZ5" s="6">
        <f>AW5/AY5</f>
        <v/>
      </c>
    </row>
    <row r="6">
      <c r="A6" s="2" t="inlineStr">
        <is>
          <t>TRATADO</t>
        </is>
      </c>
      <c r="B6" s="2" t="inlineStr">
        <is>
          <t>111001800392</t>
        </is>
      </c>
      <c r="C6" s="2" t="inlineStr">
        <is>
          <t>COLEGIO SOLEDAD ACOSTA DE SAMPER (IED) - SEDE PRINCIPAL</t>
        </is>
      </c>
      <c r="D6" s="2" t="inlineStr">
        <is>
          <t>JULIAN ESTEBAN ROJAS URREGO</t>
        </is>
      </c>
      <c r="E6" s="2" t="inlineStr">
        <is>
          <t>1025076168</t>
        </is>
      </c>
      <c r="F6" s="2" t="n">
        <v>5</v>
      </c>
      <c r="G6" s="2" t="n">
        <v>501</v>
      </c>
      <c r="H6" s="2" t="inlineStr">
        <is>
          <t>MATEMÁTICAS</t>
        </is>
      </c>
      <c r="I6" s="2" t="inlineStr">
        <is>
          <t>C</t>
        </is>
      </c>
      <c r="J6" s="4" t="inlineStr">
        <is>
          <t>CORRECTO</t>
        </is>
      </c>
      <c r="K6" s="2" t="inlineStr">
        <is>
          <t>A</t>
        </is>
      </c>
      <c r="L6" s="3" t="inlineStr">
        <is>
          <t>INCORRECTO</t>
        </is>
      </c>
      <c r="M6" s="2" t="inlineStr">
        <is>
          <t>B</t>
        </is>
      </c>
      <c r="N6" s="3" t="inlineStr">
        <is>
          <t>INCORRECTO</t>
        </is>
      </c>
      <c r="O6" s="2" t="inlineStr">
        <is>
          <t>A</t>
        </is>
      </c>
      <c r="P6" s="3" t="inlineStr">
        <is>
          <t>INCORRECTO</t>
        </is>
      </c>
      <c r="Q6" s="2" t="inlineStr">
        <is>
          <t>A</t>
        </is>
      </c>
      <c r="R6" s="3" t="inlineStr">
        <is>
          <t>INCORRECTO</t>
        </is>
      </c>
      <c r="S6" s="2" t="inlineStr">
        <is>
          <t>B</t>
        </is>
      </c>
      <c r="T6" s="4" t="inlineStr">
        <is>
          <t>CORRECTO</t>
        </is>
      </c>
      <c r="U6" s="2" t="inlineStr"/>
      <c r="V6" s="3" t="inlineStr">
        <is>
          <t>INCORRECTO</t>
        </is>
      </c>
      <c r="W6" s="2" t="inlineStr">
        <is>
          <t>C</t>
        </is>
      </c>
      <c r="X6" s="3" t="inlineStr">
        <is>
          <t>INCORRECTO</t>
        </is>
      </c>
      <c r="Y6" s="2" t="inlineStr">
        <is>
          <t>B</t>
        </is>
      </c>
      <c r="Z6" s="4" t="inlineStr">
        <is>
          <t>CORRECTO</t>
        </is>
      </c>
      <c r="AA6" s="2" t="inlineStr">
        <is>
          <t>C</t>
        </is>
      </c>
      <c r="AB6" s="4" t="inlineStr">
        <is>
          <t>CORRECTO</t>
        </is>
      </c>
      <c r="AC6" s="2" t="inlineStr">
        <is>
          <t>B</t>
        </is>
      </c>
      <c r="AD6" s="4" t="inlineStr">
        <is>
          <t>CORRECTO</t>
        </is>
      </c>
      <c r="AE6" s="2" t="inlineStr">
        <is>
          <t>B</t>
        </is>
      </c>
      <c r="AF6" s="4" t="inlineStr">
        <is>
          <t>CORRECTO</t>
        </is>
      </c>
      <c r="AG6" s="2" t="inlineStr">
        <is>
          <t>C</t>
        </is>
      </c>
      <c r="AH6" s="4" t="inlineStr">
        <is>
          <t>CORRECTO</t>
        </is>
      </c>
      <c r="AI6" s="2" t="inlineStr">
        <is>
          <t>C</t>
        </is>
      </c>
      <c r="AJ6" s="4" t="inlineStr">
        <is>
          <t>CORRECTO</t>
        </is>
      </c>
      <c r="AK6" s="2" t="inlineStr">
        <is>
          <t>D</t>
        </is>
      </c>
      <c r="AL6" s="3" t="inlineStr">
        <is>
          <t>INCORRECTO</t>
        </is>
      </c>
      <c r="AM6" s="2" t="inlineStr">
        <is>
          <t>A</t>
        </is>
      </c>
      <c r="AN6" s="3" t="inlineStr">
        <is>
          <t>INCORRECTO</t>
        </is>
      </c>
      <c r="AO6" s="2" t="inlineStr">
        <is>
          <t>C</t>
        </is>
      </c>
      <c r="AP6" s="4" t="inlineStr">
        <is>
          <t>CORRECTO</t>
        </is>
      </c>
      <c r="AQ6" s="2" t="inlineStr">
        <is>
          <t>D</t>
        </is>
      </c>
      <c r="AR6" s="3" t="inlineStr">
        <is>
          <t>INCORRECTO</t>
        </is>
      </c>
      <c r="AS6" s="2" t="inlineStr">
        <is>
          <t>A</t>
        </is>
      </c>
      <c r="AT6" s="4" t="inlineStr">
        <is>
          <t>CORRECTO</t>
        </is>
      </c>
      <c r="AU6" s="2" t="inlineStr">
        <is>
          <t>A</t>
        </is>
      </c>
      <c r="AV6" s="4" t="inlineStr">
        <is>
          <t>CORRECTO</t>
        </is>
      </c>
      <c r="AW6" s="5">
        <f>COUNTIF(J6:AV6,"CORRECTO")</f>
        <v/>
      </c>
      <c r="AX6" s="5">
        <f>COUNTIF(J6:AV6,"INCORRECTO")</f>
        <v/>
      </c>
      <c r="AY6" s="5" t="n">
        <v>20</v>
      </c>
      <c r="AZ6" s="6">
        <f>AW6/AY6</f>
        <v/>
      </c>
    </row>
    <row r="7">
      <c r="A7" s="2" t="inlineStr">
        <is>
          <t>TRATADO</t>
        </is>
      </c>
      <c r="B7" s="2" t="inlineStr">
        <is>
          <t>111001800392</t>
        </is>
      </c>
      <c r="C7" s="2" t="inlineStr">
        <is>
          <t>COLEGIO SOLEDAD ACOSTA DE SAMPER (IED) - SEDE PRINCIPAL</t>
        </is>
      </c>
      <c r="D7" s="2" t="inlineStr">
        <is>
          <t>NASHLY DANIELA BARRERA ZAMBRANO</t>
        </is>
      </c>
      <c r="E7" s="2" t="inlineStr">
        <is>
          <t>1028877532</t>
        </is>
      </c>
      <c r="F7" s="2" t="n">
        <v>5</v>
      </c>
      <c r="G7" s="2" t="n">
        <v>501</v>
      </c>
      <c r="H7" s="2" t="inlineStr">
        <is>
          <t>MATEMÁTICAS</t>
        </is>
      </c>
      <c r="I7" s="2" t="inlineStr">
        <is>
          <t>C</t>
        </is>
      </c>
      <c r="J7" s="4" t="inlineStr">
        <is>
          <t>CORRECTO</t>
        </is>
      </c>
      <c r="K7" s="2" t="inlineStr">
        <is>
          <t>A</t>
        </is>
      </c>
      <c r="L7" s="3" t="inlineStr">
        <is>
          <t>INCORRECTO</t>
        </is>
      </c>
      <c r="M7" s="2" t="inlineStr">
        <is>
          <t>A</t>
        </is>
      </c>
      <c r="N7" s="3" t="inlineStr">
        <is>
          <t>INCORRECTO</t>
        </is>
      </c>
      <c r="O7" s="2" t="inlineStr">
        <is>
          <t>C</t>
        </is>
      </c>
      <c r="P7" s="4" t="inlineStr">
        <is>
          <t>CORRECTO</t>
        </is>
      </c>
      <c r="Q7" s="2" t="inlineStr">
        <is>
          <t>B</t>
        </is>
      </c>
      <c r="R7" s="4" t="inlineStr">
        <is>
          <t>CORRECTO</t>
        </is>
      </c>
      <c r="S7" s="2" t="inlineStr">
        <is>
          <t>B</t>
        </is>
      </c>
      <c r="T7" s="4" t="inlineStr">
        <is>
          <t>CORRECTO</t>
        </is>
      </c>
      <c r="U7" s="2" t="inlineStr"/>
      <c r="V7" s="3" t="inlineStr">
        <is>
          <t>INCORRECTO</t>
        </is>
      </c>
      <c r="W7" s="2" t="inlineStr">
        <is>
          <t>D</t>
        </is>
      </c>
      <c r="X7" s="4" t="inlineStr">
        <is>
          <t>CORRECTO</t>
        </is>
      </c>
      <c r="Y7" s="2" t="inlineStr">
        <is>
          <t>B</t>
        </is>
      </c>
      <c r="Z7" s="4" t="inlineStr">
        <is>
          <t>CORRECTO</t>
        </is>
      </c>
      <c r="AA7" s="2" t="inlineStr">
        <is>
          <t>C</t>
        </is>
      </c>
      <c r="AB7" s="4" t="inlineStr">
        <is>
          <t>CORRECTO</t>
        </is>
      </c>
      <c r="AC7" s="2" t="inlineStr">
        <is>
          <t>C</t>
        </is>
      </c>
      <c r="AD7" s="3" t="inlineStr">
        <is>
          <t>INCORRECTO</t>
        </is>
      </c>
      <c r="AE7" s="2" t="inlineStr">
        <is>
          <t>B</t>
        </is>
      </c>
      <c r="AF7" s="4" t="inlineStr">
        <is>
          <t>CORRECTO</t>
        </is>
      </c>
      <c r="AG7" s="2" t="inlineStr">
        <is>
          <t>C</t>
        </is>
      </c>
      <c r="AH7" s="4" t="inlineStr">
        <is>
          <t>CORRECTO</t>
        </is>
      </c>
      <c r="AI7" s="2" t="inlineStr">
        <is>
          <t>C</t>
        </is>
      </c>
      <c r="AJ7" s="4" t="inlineStr">
        <is>
          <t>CORRECTO</t>
        </is>
      </c>
      <c r="AK7" s="2" t="inlineStr">
        <is>
          <t>B</t>
        </is>
      </c>
      <c r="AL7" s="3" t="inlineStr">
        <is>
          <t>INCORRECTO</t>
        </is>
      </c>
      <c r="AM7" s="2" t="inlineStr">
        <is>
          <t>A</t>
        </is>
      </c>
      <c r="AN7" s="3" t="inlineStr">
        <is>
          <t>INCORRECTO</t>
        </is>
      </c>
      <c r="AO7" s="2" t="inlineStr">
        <is>
          <t>B</t>
        </is>
      </c>
      <c r="AP7" s="3" t="inlineStr">
        <is>
          <t>INCORRECTO</t>
        </is>
      </c>
      <c r="AQ7" s="2" t="inlineStr">
        <is>
          <t>D</t>
        </is>
      </c>
      <c r="AR7" s="3" t="inlineStr">
        <is>
          <t>INCORRECTO</t>
        </is>
      </c>
      <c r="AS7" s="2" t="inlineStr">
        <is>
          <t>A</t>
        </is>
      </c>
      <c r="AT7" s="4" t="inlineStr">
        <is>
          <t>CORRECTO</t>
        </is>
      </c>
      <c r="AU7" s="2" t="inlineStr">
        <is>
          <t>A</t>
        </is>
      </c>
      <c r="AV7" s="4" t="inlineStr">
        <is>
          <t>CORRECTO</t>
        </is>
      </c>
      <c r="AW7" s="5">
        <f>COUNTIF(J7:AV7,"CORRECTO")</f>
        <v/>
      </c>
      <c r="AX7" s="5">
        <f>COUNTIF(J7:AV7,"INCORRECTO")</f>
        <v/>
      </c>
      <c r="AY7" s="5" t="n">
        <v>20</v>
      </c>
      <c r="AZ7" s="6">
        <f>AW7/AY7</f>
        <v/>
      </c>
    </row>
    <row r="8">
      <c r="A8" s="2" t="inlineStr">
        <is>
          <t>TRATADO</t>
        </is>
      </c>
      <c r="B8" s="2" t="inlineStr">
        <is>
          <t>111001800392</t>
        </is>
      </c>
      <c r="C8" s="2" t="inlineStr">
        <is>
          <t>COLEGIO SOLEDAD ACOSTA DE SAMPER (IED) - SEDE PRINCIPAL</t>
        </is>
      </c>
      <c r="D8" s="2" t="inlineStr">
        <is>
          <t>EMMY SHANTHAL CABARCA MELO</t>
        </is>
      </c>
      <c r="E8" s="2" t="inlineStr">
        <is>
          <t>1066097029</t>
        </is>
      </c>
      <c r="F8" s="2" t="n">
        <v>5</v>
      </c>
      <c r="G8" s="2" t="n">
        <v>501</v>
      </c>
      <c r="H8" s="2" t="inlineStr">
        <is>
          <t>MATEMÁTICAS</t>
        </is>
      </c>
      <c r="I8" s="2" t="inlineStr">
        <is>
          <t>C</t>
        </is>
      </c>
      <c r="J8" s="4" t="inlineStr">
        <is>
          <t>CORRECTO</t>
        </is>
      </c>
      <c r="K8" s="2" t="inlineStr">
        <is>
          <t>A</t>
        </is>
      </c>
      <c r="L8" s="3" t="inlineStr">
        <is>
          <t>INCORRECTO</t>
        </is>
      </c>
      <c r="M8" s="2" t="inlineStr">
        <is>
          <t>A</t>
        </is>
      </c>
      <c r="N8" s="3" t="inlineStr">
        <is>
          <t>INCORRECTO</t>
        </is>
      </c>
      <c r="O8" s="2" t="inlineStr">
        <is>
          <t>C</t>
        </is>
      </c>
      <c r="P8" s="4" t="inlineStr">
        <is>
          <t>CORRECTO</t>
        </is>
      </c>
      <c r="Q8" s="2" t="inlineStr">
        <is>
          <t>B</t>
        </is>
      </c>
      <c r="R8" s="4" t="inlineStr">
        <is>
          <t>CORRECTO</t>
        </is>
      </c>
      <c r="S8" s="2" t="inlineStr">
        <is>
          <t>B</t>
        </is>
      </c>
      <c r="T8" s="4" t="inlineStr">
        <is>
          <t>CORRECTO</t>
        </is>
      </c>
      <c r="U8" s="2" t="inlineStr"/>
      <c r="V8" s="3" t="inlineStr">
        <is>
          <t>INCORRECTO</t>
        </is>
      </c>
      <c r="W8" s="2" t="inlineStr">
        <is>
          <t>D</t>
        </is>
      </c>
      <c r="X8" s="4" t="inlineStr">
        <is>
          <t>CORRECTO</t>
        </is>
      </c>
      <c r="Y8" s="2" t="inlineStr">
        <is>
          <t>B</t>
        </is>
      </c>
      <c r="Z8" s="4" t="inlineStr">
        <is>
          <t>CORRECTO</t>
        </is>
      </c>
      <c r="AA8" s="2" t="inlineStr">
        <is>
          <t>B</t>
        </is>
      </c>
      <c r="AB8" s="3" t="inlineStr">
        <is>
          <t>INCORRECTO</t>
        </is>
      </c>
      <c r="AC8" s="2" t="inlineStr">
        <is>
          <t>B</t>
        </is>
      </c>
      <c r="AD8" s="4" t="inlineStr">
        <is>
          <t>CORRECTO</t>
        </is>
      </c>
      <c r="AE8" s="2" t="inlineStr">
        <is>
          <t>A</t>
        </is>
      </c>
      <c r="AF8" s="3" t="inlineStr">
        <is>
          <t>INCORRECTO</t>
        </is>
      </c>
      <c r="AG8" s="2" t="inlineStr">
        <is>
          <t>C</t>
        </is>
      </c>
      <c r="AH8" s="4" t="inlineStr">
        <is>
          <t>CORRECTO</t>
        </is>
      </c>
      <c r="AI8" s="2" t="inlineStr">
        <is>
          <t>C</t>
        </is>
      </c>
      <c r="AJ8" s="4" t="inlineStr">
        <is>
          <t>CORRECTO</t>
        </is>
      </c>
      <c r="AK8" s="2" t="inlineStr">
        <is>
          <t>B</t>
        </is>
      </c>
      <c r="AL8" s="3" t="inlineStr">
        <is>
          <t>INCORRECTO</t>
        </is>
      </c>
      <c r="AM8" s="2" t="inlineStr">
        <is>
          <t>A</t>
        </is>
      </c>
      <c r="AN8" s="3" t="inlineStr">
        <is>
          <t>INCORRECTO</t>
        </is>
      </c>
      <c r="AO8" s="2" t="inlineStr">
        <is>
          <t>C</t>
        </is>
      </c>
      <c r="AP8" s="4" t="inlineStr">
        <is>
          <t>CORRECTO</t>
        </is>
      </c>
      <c r="AQ8" s="2" t="inlineStr">
        <is>
          <t>A</t>
        </is>
      </c>
      <c r="AR8" s="3" t="inlineStr">
        <is>
          <t>INCORRECTO</t>
        </is>
      </c>
      <c r="AS8" s="2" t="inlineStr">
        <is>
          <t>A</t>
        </is>
      </c>
      <c r="AT8" s="4" t="inlineStr">
        <is>
          <t>CORRECTO</t>
        </is>
      </c>
      <c r="AU8" s="2" t="inlineStr">
        <is>
          <t>A</t>
        </is>
      </c>
      <c r="AV8" s="4" t="inlineStr">
        <is>
          <t>CORRECTO</t>
        </is>
      </c>
      <c r="AW8" s="5">
        <f>COUNTIF(J8:AV8,"CORRECTO")</f>
        <v/>
      </c>
      <c r="AX8" s="5">
        <f>COUNTIF(J8:AV8,"INCORRECTO")</f>
        <v/>
      </c>
      <c r="AY8" s="5" t="n">
        <v>20</v>
      </c>
      <c r="AZ8" s="6">
        <f>AW8/AY8</f>
        <v/>
      </c>
    </row>
    <row r="9">
      <c r="A9" s="2" t="inlineStr">
        <is>
          <t>TRATADO</t>
        </is>
      </c>
      <c r="B9" s="2" t="inlineStr">
        <is>
          <t>111001800392</t>
        </is>
      </c>
      <c r="C9" s="2" t="inlineStr">
        <is>
          <t>COLEGIO SOLEDAD ACOSTA DE SAMPER (IED) - SEDE PRINCIPAL</t>
        </is>
      </c>
      <c r="D9" s="2" t="inlineStr">
        <is>
          <t>DAFNE LUCIANA GARCIA PIAMBA</t>
        </is>
      </c>
      <c r="E9" s="2" t="inlineStr">
        <is>
          <t>1141355418</t>
        </is>
      </c>
      <c r="F9" s="2" t="n">
        <v>5</v>
      </c>
      <c r="G9" s="2" t="n">
        <v>501</v>
      </c>
      <c r="H9" s="2" t="inlineStr">
        <is>
          <t>MATEMÁTICAS</t>
        </is>
      </c>
      <c r="I9" s="2" t="inlineStr">
        <is>
          <t>C</t>
        </is>
      </c>
      <c r="J9" s="4" t="inlineStr">
        <is>
          <t>CORRECTO</t>
        </is>
      </c>
      <c r="K9" s="2" t="inlineStr">
        <is>
          <t>A</t>
        </is>
      </c>
      <c r="L9" s="3" t="inlineStr">
        <is>
          <t>INCORRECTO</t>
        </is>
      </c>
      <c r="M9" s="2" t="inlineStr">
        <is>
          <t>A</t>
        </is>
      </c>
      <c r="N9" s="3" t="inlineStr">
        <is>
          <t>INCORRECTO</t>
        </is>
      </c>
      <c r="O9" s="2" t="inlineStr">
        <is>
          <t>C</t>
        </is>
      </c>
      <c r="P9" s="4" t="inlineStr">
        <is>
          <t>CORRECTO</t>
        </is>
      </c>
      <c r="Q9" s="2" t="inlineStr">
        <is>
          <t>B</t>
        </is>
      </c>
      <c r="R9" s="4" t="inlineStr">
        <is>
          <t>CORRECTO</t>
        </is>
      </c>
      <c r="S9" s="2" t="inlineStr">
        <is>
          <t>B</t>
        </is>
      </c>
      <c r="T9" s="4" t="inlineStr">
        <is>
          <t>CORRECTO</t>
        </is>
      </c>
      <c r="U9" s="2" t="inlineStr"/>
      <c r="V9" s="3" t="inlineStr">
        <is>
          <t>INCORRECTO</t>
        </is>
      </c>
      <c r="W9" s="2" t="inlineStr">
        <is>
          <t>D</t>
        </is>
      </c>
      <c r="X9" s="4" t="inlineStr">
        <is>
          <t>CORRECTO</t>
        </is>
      </c>
      <c r="Y9" s="2" t="inlineStr">
        <is>
          <t>B</t>
        </is>
      </c>
      <c r="Z9" s="4" t="inlineStr">
        <is>
          <t>CORRECTO</t>
        </is>
      </c>
      <c r="AA9" s="2" t="inlineStr">
        <is>
          <t>C</t>
        </is>
      </c>
      <c r="AB9" s="4" t="inlineStr">
        <is>
          <t>CORRECTO</t>
        </is>
      </c>
      <c r="AC9" s="2" t="inlineStr">
        <is>
          <t>C</t>
        </is>
      </c>
      <c r="AD9" s="3" t="inlineStr">
        <is>
          <t>INCORRECTO</t>
        </is>
      </c>
      <c r="AE9" s="2" t="inlineStr">
        <is>
          <t>A</t>
        </is>
      </c>
      <c r="AF9" s="3" t="inlineStr">
        <is>
          <t>INCORRECTO</t>
        </is>
      </c>
      <c r="AG9" s="2" t="inlineStr">
        <is>
          <t>C</t>
        </is>
      </c>
      <c r="AH9" s="4" t="inlineStr">
        <is>
          <t>CORRECTO</t>
        </is>
      </c>
      <c r="AI9" s="2" t="inlineStr">
        <is>
          <t>C</t>
        </is>
      </c>
      <c r="AJ9" s="4" t="inlineStr">
        <is>
          <t>CORRECTO</t>
        </is>
      </c>
      <c r="AK9" s="2" t="inlineStr">
        <is>
          <t>B</t>
        </is>
      </c>
      <c r="AL9" s="3" t="inlineStr">
        <is>
          <t>INCORRECTO</t>
        </is>
      </c>
      <c r="AM9" s="2" t="inlineStr">
        <is>
          <t>A</t>
        </is>
      </c>
      <c r="AN9" s="3" t="inlineStr">
        <is>
          <t>INCORRECTO</t>
        </is>
      </c>
      <c r="AO9" s="2" t="inlineStr">
        <is>
          <t>C</t>
        </is>
      </c>
      <c r="AP9" s="4" t="inlineStr">
        <is>
          <t>CORRECTO</t>
        </is>
      </c>
      <c r="AQ9" s="2" t="inlineStr">
        <is>
          <t>A</t>
        </is>
      </c>
      <c r="AR9" s="3" t="inlineStr">
        <is>
          <t>INCORRECTO</t>
        </is>
      </c>
      <c r="AS9" s="2" t="inlineStr">
        <is>
          <t>A</t>
        </is>
      </c>
      <c r="AT9" s="4" t="inlineStr">
        <is>
          <t>CORRECTO</t>
        </is>
      </c>
      <c r="AU9" s="2" t="inlineStr">
        <is>
          <t>A</t>
        </is>
      </c>
      <c r="AV9" s="4" t="inlineStr">
        <is>
          <t>CORRECTO</t>
        </is>
      </c>
      <c r="AW9" s="5">
        <f>COUNTIF(J9:AV9,"CORRECTO")</f>
        <v/>
      </c>
      <c r="AX9" s="5">
        <f>COUNTIF(J9:AV9,"INCORRECTO")</f>
        <v/>
      </c>
      <c r="AY9" s="5" t="n">
        <v>20</v>
      </c>
      <c r="AZ9" s="6">
        <f>AW9/AY9</f>
        <v/>
      </c>
    </row>
    <row r="10">
      <c r="A10" s="2" t="inlineStr">
        <is>
          <t>TRATADO</t>
        </is>
      </c>
      <c r="B10" s="2" t="inlineStr">
        <is>
          <t>111001800392</t>
        </is>
      </c>
      <c r="C10" s="2" t="inlineStr">
        <is>
          <t>COLEGIO SOLEDAD ACOSTA DE SAMPER (IED) - SEDE PRINCIPAL</t>
        </is>
      </c>
      <c r="D10" s="2" t="inlineStr">
        <is>
          <t>NICOLAS STEBAN PALACIOS TIRADO</t>
        </is>
      </c>
      <c r="E10" s="2" t="inlineStr">
        <is>
          <t>1233494561</t>
        </is>
      </c>
      <c r="F10" s="2" t="n">
        <v>5</v>
      </c>
      <c r="G10" s="2" t="n">
        <v>501</v>
      </c>
      <c r="H10" s="2" t="inlineStr">
        <is>
          <t>MATEMÁTICAS</t>
        </is>
      </c>
      <c r="I10" s="2" t="inlineStr">
        <is>
          <t>C</t>
        </is>
      </c>
      <c r="J10" s="4" t="inlineStr">
        <is>
          <t>CORRECTO</t>
        </is>
      </c>
      <c r="K10" s="2" t="inlineStr">
        <is>
          <t>A</t>
        </is>
      </c>
      <c r="L10" s="3" t="inlineStr">
        <is>
          <t>INCORRECTO</t>
        </is>
      </c>
      <c r="M10" s="2" t="inlineStr">
        <is>
          <t>B</t>
        </is>
      </c>
      <c r="N10" s="3" t="inlineStr">
        <is>
          <t>INCORRECTO</t>
        </is>
      </c>
      <c r="O10" s="2" t="inlineStr">
        <is>
          <t>A</t>
        </is>
      </c>
      <c r="P10" s="3" t="inlineStr">
        <is>
          <t>INCORRECTO</t>
        </is>
      </c>
      <c r="Q10" s="2" t="inlineStr">
        <is>
          <t>C</t>
        </is>
      </c>
      <c r="R10" s="3" t="inlineStr">
        <is>
          <t>INCORRECTO</t>
        </is>
      </c>
      <c r="S10" s="2" t="inlineStr">
        <is>
          <t>B</t>
        </is>
      </c>
      <c r="T10" s="4" t="inlineStr">
        <is>
          <t>CORRECTO</t>
        </is>
      </c>
      <c r="U10" s="2" t="inlineStr"/>
      <c r="V10" s="3" t="inlineStr">
        <is>
          <t>INCORRECTO</t>
        </is>
      </c>
      <c r="W10" s="2" t="inlineStr">
        <is>
          <t>A</t>
        </is>
      </c>
      <c r="X10" s="3" t="inlineStr">
        <is>
          <t>INCORRECTO</t>
        </is>
      </c>
      <c r="Y10" s="2" t="inlineStr">
        <is>
          <t>C</t>
        </is>
      </c>
      <c r="Z10" s="3" t="inlineStr">
        <is>
          <t>INCORRECTO</t>
        </is>
      </c>
      <c r="AA10" s="2" t="inlineStr">
        <is>
          <t>C</t>
        </is>
      </c>
      <c r="AB10" s="4" t="inlineStr">
        <is>
          <t>CORRECTO</t>
        </is>
      </c>
      <c r="AC10" s="2" t="inlineStr">
        <is>
          <t>D</t>
        </is>
      </c>
      <c r="AD10" s="3" t="inlineStr">
        <is>
          <t>INCORRECTO</t>
        </is>
      </c>
      <c r="AE10" s="2" t="inlineStr">
        <is>
          <t>B</t>
        </is>
      </c>
      <c r="AF10" s="4" t="inlineStr">
        <is>
          <t>CORRECTO</t>
        </is>
      </c>
      <c r="AG10" s="2" t="inlineStr">
        <is>
          <t>C</t>
        </is>
      </c>
      <c r="AH10" s="4" t="inlineStr">
        <is>
          <t>CORRECTO</t>
        </is>
      </c>
      <c r="AI10" s="2" t="inlineStr">
        <is>
          <t>D</t>
        </is>
      </c>
      <c r="AJ10" s="3" t="inlineStr">
        <is>
          <t>INCORRECTO</t>
        </is>
      </c>
      <c r="AK10" s="2" t="inlineStr">
        <is>
          <t>D</t>
        </is>
      </c>
      <c r="AL10" s="3" t="inlineStr">
        <is>
          <t>INCORRECTO</t>
        </is>
      </c>
      <c r="AM10" s="2" t="inlineStr">
        <is>
          <t>C</t>
        </is>
      </c>
      <c r="AN10" s="4" t="inlineStr">
        <is>
          <t>CORRECTO</t>
        </is>
      </c>
      <c r="AO10" s="2" t="inlineStr">
        <is>
          <t>D</t>
        </is>
      </c>
      <c r="AP10" s="3" t="inlineStr">
        <is>
          <t>INCORRECTO</t>
        </is>
      </c>
      <c r="AQ10" s="2" t="inlineStr">
        <is>
          <t>A</t>
        </is>
      </c>
      <c r="AR10" s="3" t="inlineStr">
        <is>
          <t>INCORRECTO</t>
        </is>
      </c>
      <c r="AS10" s="2" t="inlineStr">
        <is>
          <t>A</t>
        </is>
      </c>
      <c r="AT10" s="4" t="inlineStr">
        <is>
          <t>CORRECTO</t>
        </is>
      </c>
      <c r="AU10" s="2" t="inlineStr">
        <is>
          <t>D</t>
        </is>
      </c>
      <c r="AV10" s="3" t="inlineStr">
        <is>
          <t>INCORRECTO</t>
        </is>
      </c>
      <c r="AW10" s="5">
        <f>COUNTIF(J10:AV10,"CORRECTO")</f>
        <v/>
      </c>
      <c r="AX10" s="5">
        <f>COUNTIF(J10:AV10,"INCORRECTO")</f>
        <v/>
      </c>
      <c r="AY10" s="5" t="n">
        <v>20</v>
      </c>
      <c r="AZ10" s="6">
        <f>AW10/AY10</f>
        <v/>
      </c>
    </row>
    <row r="11">
      <c r="A11" s="2" t="inlineStr">
        <is>
          <t>TRATADO</t>
        </is>
      </c>
      <c r="B11" s="2" t="inlineStr">
        <is>
          <t>111001800392</t>
        </is>
      </c>
      <c r="C11" s="2" t="inlineStr">
        <is>
          <t>COLEGIO SOLEDAD ACOSTA DE SAMPER (IED) - SEDE PRINCIPAL</t>
        </is>
      </c>
      <c r="D11" s="2" t="inlineStr">
        <is>
          <t>JOSEPH ALEJANDRO GONZALEZ MARTINEZ</t>
        </is>
      </c>
      <c r="E11" s="2" t="inlineStr">
        <is>
          <t>1025075979</t>
        </is>
      </c>
      <c r="F11" s="2" t="n">
        <v>5</v>
      </c>
      <c r="G11" s="2" t="n">
        <v>501</v>
      </c>
      <c r="H11" s="2" t="inlineStr">
        <is>
          <t>MATEMÁTICAS</t>
        </is>
      </c>
      <c r="I11" s="2" t="inlineStr">
        <is>
          <t>C</t>
        </is>
      </c>
      <c r="J11" s="4" t="inlineStr">
        <is>
          <t>CORRECTO</t>
        </is>
      </c>
      <c r="K11" s="2" t="inlineStr">
        <is>
          <t>A</t>
        </is>
      </c>
      <c r="L11" s="3" t="inlineStr">
        <is>
          <t>INCORRECTO</t>
        </is>
      </c>
      <c r="M11" s="2" t="inlineStr">
        <is>
          <t>B</t>
        </is>
      </c>
      <c r="N11" s="3" t="inlineStr">
        <is>
          <t>INCORRECTO</t>
        </is>
      </c>
      <c r="O11" s="2" t="inlineStr">
        <is>
          <t>A</t>
        </is>
      </c>
      <c r="P11" s="3" t="inlineStr">
        <is>
          <t>INCORRECTO</t>
        </is>
      </c>
      <c r="Q11" s="2" t="inlineStr">
        <is>
          <t>A</t>
        </is>
      </c>
      <c r="R11" s="3" t="inlineStr">
        <is>
          <t>INCORRECTO</t>
        </is>
      </c>
      <c r="S11" s="2" t="inlineStr">
        <is>
          <t>B</t>
        </is>
      </c>
      <c r="T11" s="4" t="inlineStr">
        <is>
          <t>CORRECTO</t>
        </is>
      </c>
      <c r="U11" s="2" t="inlineStr">
        <is>
          <t>C</t>
        </is>
      </c>
      <c r="V11" s="3" t="inlineStr">
        <is>
          <t>INCORRECTO</t>
        </is>
      </c>
      <c r="W11" s="2" t="inlineStr">
        <is>
          <t>C</t>
        </is>
      </c>
      <c r="X11" s="3" t="inlineStr">
        <is>
          <t>INCORRECTO</t>
        </is>
      </c>
      <c r="Y11" s="2" t="inlineStr">
        <is>
          <t>B</t>
        </is>
      </c>
      <c r="Z11" s="4" t="inlineStr">
        <is>
          <t>CORRECTO</t>
        </is>
      </c>
      <c r="AA11" s="2" t="inlineStr">
        <is>
          <t>C</t>
        </is>
      </c>
      <c r="AB11" s="4" t="inlineStr">
        <is>
          <t>CORRECTO</t>
        </is>
      </c>
      <c r="AC11" s="2" t="inlineStr">
        <is>
          <t>B</t>
        </is>
      </c>
      <c r="AD11" s="4" t="inlineStr">
        <is>
          <t>CORRECTO</t>
        </is>
      </c>
      <c r="AE11" s="2" t="inlineStr">
        <is>
          <t>B</t>
        </is>
      </c>
      <c r="AF11" s="4" t="inlineStr">
        <is>
          <t>CORRECTO</t>
        </is>
      </c>
      <c r="AG11" s="2" t="inlineStr">
        <is>
          <t>C</t>
        </is>
      </c>
      <c r="AH11" s="4" t="inlineStr">
        <is>
          <t>CORRECTO</t>
        </is>
      </c>
      <c r="AI11" s="2" t="inlineStr">
        <is>
          <t>C</t>
        </is>
      </c>
      <c r="AJ11" s="4" t="inlineStr">
        <is>
          <t>CORRECTO</t>
        </is>
      </c>
      <c r="AK11" s="2" t="inlineStr">
        <is>
          <t>D</t>
        </is>
      </c>
      <c r="AL11" s="3" t="inlineStr">
        <is>
          <t>INCORRECTO</t>
        </is>
      </c>
      <c r="AM11" s="2" t="inlineStr">
        <is>
          <t>C</t>
        </is>
      </c>
      <c r="AN11" s="4" t="inlineStr">
        <is>
          <t>CORRECTO</t>
        </is>
      </c>
      <c r="AO11" s="2" t="inlineStr">
        <is>
          <t>C</t>
        </is>
      </c>
      <c r="AP11" s="4" t="inlineStr">
        <is>
          <t>CORRECTO</t>
        </is>
      </c>
      <c r="AQ11" s="2" t="inlineStr">
        <is>
          <t>D</t>
        </is>
      </c>
      <c r="AR11" s="3" t="inlineStr">
        <is>
          <t>INCORRECTO</t>
        </is>
      </c>
      <c r="AS11" s="2" t="inlineStr">
        <is>
          <t>A</t>
        </is>
      </c>
      <c r="AT11" s="4" t="inlineStr">
        <is>
          <t>CORRECTO</t>
        </is>
      </c>
      <c r="AU11" s="2" t="inlineStr">
        <is>
          <t>A</t>
        </is>
      </c>
      <c r="AV11" s="4" t="inlineStr">
        <is>
          <t>CORRECTO</t>
        </is>
      </c>
      <c r="AW11" s="5">
        <f>COUNTIF(J11:AV11,"CORRECTO")</f>
        <v/>
      </c>
      <c r="AX11" s="5">
        <f>COUNTIF(J11:AV11,"INCORRECTO")</f>
        <v/>
      </c>
      <c r="AY11" s="5" t="n">
        <v>20</v>
      </c>
      <c r="AZ11" s="6">
        <f>AW11/AY11</f>
        <v/>
      </c>
    </row>
    <row r="12">
      <c r="A12" s="2" t="inlineStr">
        <is>
          <t>TRATADO</t>
        </is>
      </c>
      <c r="B12" s="2" t="inlineStr">
        <is>
          <t>111001800392</t>
        </is>
      </c>
      <c r="C12" s="2" t="inlineStr">
        <is>
          <t>COLEGIO SOLEDAD ACOSTA DE SAMPER (IED) - SEDE PRINCIPAL</t>
        </is>
      </c>
      <c r="D12" s="2" t="inlineStr">
        <is>
          <t>JUAN FELIPE PEDROZO AREVALO</t>
        </is>
      </c>
      <c r="E12" s="2" t="inlineStr">
        <is>
          <t>1222209808</t>
        </is>
      </c>
      <c r="F12" s="2" t="n">
        <v>5</v>
      </c>
      <c r="G12" s="2" t="n">
        <v>501</v>
      </c>
      <c r="H12" s="2" t="inlineStr">
        <is>
          <t>MATEMÁTICAS</t>
        </is>
      </c>
      <c r="I12" s="2" t="inlineStr">
        <is>
          <t>C</t>
        </is>
      </c>
      <c r="J12" s="4" t="inlineStr">
        <is>
          <t>CORRECTO</t>
        </is>
      </c>
      <c r="K12" s="2" t="inlineStr">
        <is>
          <t>A</t>
        </is>
      </c>
      <c r="L12" s="3" t="inlineStr">
        <is>
          <t>INCORRECTO</t>
        </is>
      </c>
      <c r="M12" s="2" t="inlineStr">
        <is>
          <t>B</t>
        </is>
      </c>
      <c r="N12" s="3" t="inlineStr">
        <is>
          <t>INCORRECTO</t>
        </is>
      </c>
      <c r="O12" s="2" t="inlineStr">
        <is>
          <t>A</t>
        </is>
      </c>
      <c r="P12" s="3" t="inlineStr">
        <is>
          <t>INCORRECTO</t>
        </is>
      </c>
      <c r="Q12" s="2" t="inlineStr">
        <is>
          <t>A</t>
        </is>
      </c>
      <c r="R12" s="3" t="inlineStr">
        <is>
          <t>INCORRECTO</t>
        </is>
      </c>
      <c r="S12" s="2" t="inlineStr">
        <is>
          <t>B</t>
        </is>
      </c>
      <c r="T12" s="4" t="inlineStr">
        <is>
          <t>CORRECTO</t>
        </is>
      </c>
      <c r="U12" s="2" t="inlineStr"/>
      <c r="V12" s="3" t="inlineStr">
        <is>
          <t>INCORRECTO</t>
        </is>
      </c>
      <c r="W12" s="2" t="inlineStr">
        <is>
          <t>C</t>
        </is>
      </c>
      <c r="X12" s="3" t="inlineStr">
        <is>
          <t>INCORRECTO</t>
        </is>
      </c>
      <c r="Y12" s="2" t="inlineStr">
        <is>
          <t>B</t>
        </is>
      </c>
      <c r="Z12" s="4" t="inlineStr">
        <is>
          <t>CORRECTO</t>
        </is>
      </c>
      <c r="AA12" s="2" t="inlineStr">
        <is>
          <t>C</t>
        </is>
      </c>
      <c r="AB12" s="4" t="inlineStr">
        <is>
          <t>CORRECTO</t>
        </is>
      </c>
      <c r="AC12" s="2" t="inlineStr">
        <is>
          <t>B</t>
        </is>
      </c>
      <c r="AD12" s="4" t="inlineStr">
        <is>
          <t>CORRECTO</t>
        </is>
      </c>
      <c r="AE12" s="2" t="inlineStr">
        <is>
          <t>B</t>
        </is>
      </c>
      <c r="AF12" s="4" t="inlineStr">
        <is>
          <t>CORRECTO</t>
        </is>
      </c>
      <c r="AG12" s="2" t="inlineStr">
        <is>
          <t>C</t>
        </is>
      </c>
      <c r="AH12" s="4" t="inlineStr">
        <is>
          <t>CORRECTO</t>
        </is>
      </c>
      <c r="AI12" s="2" t="inlineStr">
        <is>
          <t>C</t>
        </is>
      </c>
      <c r="AJ12" s="4" t="inlineStr">
        <is>
          <t>CORRECTO</t>
        </is>
      </c>
      <c r="AK12" s="2" t="inlineStr">
        <is>
          <t>D</t>
        </is>
      </c>
      <c r="AL12" s="3" t="inlineStr">
        <is>
          <t>INCORRECTO</t>
        </is>
      </c>
      <c r="AM12" s="2" t="inlineStr">
        <is>
          <t>C</t>
        </is>
      </c>
      <c r="AN12" s="4" t="inlineStr">
        <is>
          <t>CORRECTO</t>
        </is>
      </c>
      <c r="AO12" s="2" t="inlineStr">
        <is>
          <t>C</t>
        </is>
      </c>
      <c r="AP12" s="4" t="inlineStr">
        <is>
          <t>CORRECTO</t>
        </is>
      </c>
      <c r="AQ12" s="2" t="inlineStr">
        <is>
          <t>D</t>
        </is>
      </c>
      <c r="AR12" s="3" t="inlineStr">
        <is>
          <t>INCORRECTO</t>
        </is>
      </c>
      <c r="AS12" s="2" t="inlineStr">
        <is>
          <t>A</t>
        </is>
      </c>
      <c r="AT12" s="4" t="inlineStr">
        <is>
          <t>CORRECTO</t>
        </is>
      </c>
      <c r="AU12" s="2" t="inlineStr">
        <is>
          <t>D</t>
        </is>
      </c>
      <c r="AV12" s="3" t="inlineStr">
        <is>
          <t>INCORRECTO</t>
        </is>
      </c>
      <c r="AW12" s="5">
        <f>COUNTIF(J12:AV12,"CORRECTO")</f>
        <v/>
      </c>
      <c r="AX12" s="5">
        <f>COUNTIF(J12:AV12,"INCORRECTO")</f>
        <v/>
      </c>
      <c r="AY12" s="5" t="n">
        <v>20</v>
      </c>
      <c r="AZ12" s="6">
        <f>AW12/AY12</f>
        <v/>
      </c>
    </row>
    <row r="13">
      <c r="A13" s="2" t="inlineStr">
        <is>
          <t>TRATADO</t>
        </is>
      </c>
      <c r="B13" s="2" t="inlineStr">
        <is>
          <t>111001800392</t>
        </is>
      </c>
      <c r="C13" s="2" t="inlineStr">
        <is>
          <t>COLEGIO SOLEDAD ACOSTA DE SAMPER (IED) - SEDE PRINCIPAL</t>
        </is>
      </c>
      <c r="D13" s="2" t="inlineStr">
        <is>
          <t>MISHELL ALEJANDRA HOYOS CIFUENTES</t>
        </is>
      </c>
      <c r="E13" s="2" t="inlineStr">
        <is>
          <t>1014292246</t>
        </is>
      </c>
      <c r="F13" s="2" t="n">
        <v>5</v>
      </c>
      <c r="G13" s="2" t="n">
        <v>501</v>
      </c>
      <c r="H13" s="2" t="inlineStr">
        <is>
          <t>LENGUAJE</t>
        </is>
      </c>
      <c r="I13" s="2" t="inlineStr">
        <is>
          <t>A</t>
        </is>
      </c>
      <c r="J13" s="3" t="inlineStr">
        <is>
          <t>INCORRECTO</t>
        </is>
      </c>
      <c r="K13" s="2" t="inlineStr">
        <is>
          <t>B</t>
        </is>
      </c>
      <c r="L13" s="3" t="inlineStr">
        <is>
          <t>INCORRECTO</t>
        </is>
      </c>
      <c r="M13" s="2" t="inlineStr">
        <is>
          <t>C</t>
        </is>
      </c>
      <c r="N13" s="3" t="inlineStr">
        <is>
          <t>INCORRECTO</t>
        </is>
      </c>
      <c r="O13" s="2" t="inlineStr">
        <is>
          <t>D</t>
        </is>
      </c>
      <c r="P13" s="3" t="inlineStr">
        <is>
          <t>INCORRECTO</t>
        </is>
      </c>
      <c r="Q13" s="2" t="inlineStr">
        <is>
          <t>C</t>
        </is>
      </c>
      <c r="R13" s="4" t="inlineStr">
        <is>
          <t>CORRECTO</t>
        </is>
      </c>
      <c r="S13" s="2" t="inlineStr">
        <is>
          <t>D</t>
        </is>
      </c>
      <c r="T13" s="3" t="inlineStr">
        <is>
          <t>INCORRECTO</t>
        </is>
      </c>
      <c r="U13" s="2" t="inlineStr">
        <is>
          <t>A</t>
        </is>
      </c>
      <c r="V13" s="3" t="inlineStr">
        <is>
          <t>INCORRECTO</t>
        </is>
      </c>
      <c r="W13" s="2" t="inlineStr">
        <is>
          <t>C</t>
        </is>
      </c>
      <c r="X13" s="4" t="inlineStr">
        <is>
          <t>CORRECTO</t>
        </is>
      </c>
      <c r="Y13" s="2" t="inlineStr">
        <is>
          <t>A</t>
        </is>
      </c>
      <c r="Z13" s="3" t="inlineStr">
        <is>
          <t>INCORRECTO</t>
        </is>
      </c>
      <c r="AA13" s="2" t="inlineStr">
        <is>
          <t>A</t>
        </is>
      </c>
      <c r="AB13" s="3" t="inlineStr">
        <is>
          <t>INCORRECTO</t>
        </is>
      </c>
      <c r="AC13" s="2" t="inlineStr">
        <is>
          <t>B</t>
        </is>
      </c>
      <c r="AD13" s="3" t="inlineStr">
        <is>
          <t>INCORRECTO</t>
        </is>
      </c>
      <c r="AE13" s="2" t="inlineStr">
        <is>
          <t>C</t>
        </is>
      </c>
      <c r="AF13" s="3" t="inlineStr">
        <is>
          <t>INCORRECTO</t>
        </is>
      </c>
      <c r="AG13" s="2" t="inlineStr">
        <is>
          <t>B</t>
        </is>
      </c>
      <c r="AH13" s="4" t="inlineStr">
        <is>
          <t>CORRECTO</t>
        </is>
      </c>
      <c r="AI13" s="2" t="inlineStr">
        <is>
          <t>D</t>
        </is>
      </c>
      <c r="AJ13" s="3" t="inlineStr">
        <is>
          <t>INCORRECTO</t>
        </is>
      </c>
      <c r="AK13" s="2" t="inlineStr">
        <is>
          <t>A</t>
        </is>
      </c>
      <c r="AL13" s="3" t="inlineStr">
        <is>
          <t>INCORRECTO</t>
        </is>
      </c>
      <c r="AM13" s="2" t="inlineStr">
        <is>
          <t>B</t>
        </is>
      </c>
      <c r="AN13" s="3" t="inlineStr">
        <is>
          <t>INCORRECTO</t>
        </is>
      </c>
      <c r="AO13" s="2" t="inlineStr">
        <is>
          <t>D</t>
        </is>
      </c>
      <c r="AP13" s="3" t="inlineStr">
        <is>
          <t>INCORRECTO</t>
        </is>
      </c>
      <c r="AQ13" s="2" t="inlineStr">
        <is>
          <t>D</t>
        </is>
      </c>
      <c r="AR13" s="3" t="inlineStr">
        <is>
          <t>INCORRECTO</t>
        </is>
      </c>
      <c r="AS13" s="2" t="inlineStr">
        <is>
          <t>C</t>
        </is>
      </c>
      <c r="AT13" s="3" t="inlineStr">
        <is>
          <t>INCORRECTO</t>
        </is>
      </c>
      <c r="AU13" s="2" t="inlineStr">
        <is>
          <t>D</t>
        </is>
      </c>
      <c r="AV13" s="3" t="inlineStr">
        <is>
          <t>INCORRECTO</t>
        </is>
      </c>
      <c r="AW13" s="5">
        <f>COUNTIF(J13:AV13,"CORRECTO")</f>
        <v/>
      </c>
      <c r="AX13" s="5">
        <f>COUNTIF(J13:AV13,"INCORRECTO")</f>
        <v/>
      </c>
      <c r="AY13" s="5" t="n">
        <v>20</v>
      </c>
      <c r="AZ13" s="6">
        <f>AW13/AY13</f>
        <v/>
      </c>
    </row>
    <row r="14">
      <c r="A14" s="2" t="inlineStr">
        <is>
          <t>TRATADO</t>
        </is>
      </c>
      <c r="B14" s="2" t="inlineStr">
        <is>
          <t>111001800392</t>
        </is>
      </c>
      <c r="C14" s="2" t="inlineStr">
        <is>
          <t>COLEGIO SOLEDAD ACOSTA DE SAMPER (IED) - SEDE PRINCIPAL</t>
        </is>
      </c>
      <c r="D14" s="2" t="inlineStr">
        <is>
          <t>AARON ALEJANDRO GALINDO SANCHEZ</t>
        </is>
      </c>
      <c r="E14" s="2" t="inlineStr">
        <is>
          <t>1233488618</t>
        </is>
      </c>
      <c r="F14" s="2" t="n">
        <v>5</v>
      </c>
      <c r="G14" s="2" t="n">
        <v>501</v>
      </c>
      <c r="H14" s="2" t="inlineStr">
        <is>
          <t>LENGUAJE</t>
        </is>
      </c>
      <c r="I14" s="2" t="inlineStr">
        <is>
          <t>C</t>
        </is>
      </c>
      <c r="J14" s="4" t="inlineStr">
        <is>
          <t>CORRECTO</t>
        </is>
      </c>
      <c r="K14" s="2" t="inlineStr">
        <is>
          <t>C</t>
        </is>
      </c>
      <c r="L14" s="4" t="inlineStr">
        <is>
          <t>CORRECTO</t>
        </is>
      </c>
      <c r="M14" s="2" t="inlineStr">
        <is>
          <t>B</t>
        </is>
      </c>
      <c r="N14" s="4" t="inlineStr">
        <is>
          <t>CORRECTO</t>
        </is>
      </c>
      <c r="O14" s="2" t="inlineStr">
        <is>
          <t>C</t>
        </is>
      </c>
      <c r="P14" s="4" t="inlineStr">
        <is>
          <t>CORRECTO</t>
        </is>
      </c>
      <c r="Q14" s="2" t="inlineStr">
        <is>
          <t>C</t>
        </is>
      </c>
      <c r="R14" s="4" t="inlineStr">
        <is>
          <t>CORRECTO</t>
        </is>
      </c>
      <c r="S14" s="2" t="inlineStr">
        <is>
          <t>A</t>
        </is>
      </c>
      <c r="T14" s="4" t="inlineStr">
        <is>
          <t>CORRECTO</t>
        </is>
      </c>
      <c r="U14" s="2" t="inlineStr">
        <is>
          <t>A</t>
        </is>
      </c>
      <c r="V14" s="3" t="inlineStr">
        <is>
          <t>INCORRECTO</t>
        </is>
      </c>
      <c r="W14" s="2" t="inlineStr">
        <is>
          <t>C</t>
        </is>
      </c>
      <c r="X14" s="4" t="inlineStr">
        <is>
          <t>CORRECTO</t>
        </is>
      </c>
      <c r="Y14" s="2" t="inlineStr">
        <is>
          <t>C</t>
        </is>
      </c>
      <c r="Z14" s="4" t="inlineStr">
        <is>
          <t>CORRECTO</t>
        </is>
      </c>
      <c r="AA14" s="2" t="inlineStr">
        <is>
          <t>D</t>
        </is>
      </c>
      <c r="AB14" s="3" t="inlineStr">
        <is>
          <t>INCORRECTO</t>
        </is>
      </c>
      <c r="AC14" s="2" t="inlineStr">
        <is>
          <t>D</t>
        </is>
      </c>
      <c r="AD14" s="3" t="inlineStr">
        <is>
          <t>INCORRECTO</t>
        </is>
      </c>
      <c r="AE14" s="2" t="inlineStr">
        <is>
          <t>B</t>
        </is>
      </c>
      <c r="AF14" s="4" t="inlineStr">
        <is>
          <t>CORRECTO</t>
        </is>
      </c>
      <c r="AG14" s="2" t="inlineStr">
        <is>
          <t>B</t>
        </is>
      </c>
      <c r="AH14" s="4" t="inlineStr">
        <is>
          <t>CORRECTO</t>
        </is>
      </c>
      <c r="AI14" s="2" t="inlineStr">
        <is>
          <t>B</t>
        </is>
      </c>
      <c r="AJ14" s="3" t="inlineStr">
        <is>
          <t>INCORRECTO</t>
        </is>
      </c>
      <c r="AK14" s="2" t="inlineStr">
        <is>
          <t>B</t>
        </is>
      </c>
      <c r="AL14" s="4" t="inlineStr">
        <is>
          <t>CORRECTO</t>
        </is>
      </c>
      <c r="AM14" s="2" t="inlineStr">
        <is>
          <t>C</t>
        </is>
      </c>
      <c r="AN14" s="4" t="inlineStr">
        <is>
          <t>CORRECTO</t>
        </is>
      </c>
      <c r="AO14" s="2" t="inlineStr">
        <is>
          <t>A</t>
        </is>
      </c>
      <c r="AP14" s="4" t="inlineStr">
        <is>
          <t>CORRECTO</t>
        </is>
      </c>
      <c r="AQ14" s="2" t="inlineStr">
        <is>
          <t>A</t>
        </is>
      </c>
      <c r="AR14" s="3" t="inlineStr">
        <is>
          <t>INCORRECTO</t>
        </is>
      </c>
      <c r="AS14" s="2" t="inlineStr">
        <is>
          <t>A</t>
        </is>
      </c>
      <c r="AT14" s="3" t="inlineStr">
        <is>
          <t>INCORRECTO</t>
        </is>
      </c>
      <c r="AU14" s="2" t="inlineStr">
        <is>
          <t>C</t>
        </is>
      </c>
      <c r="AV14" s="4" t="inlineStr">
        <is>
          <t>CORRECTO</t>
        </is>
      </c>
      <c r="AW14" s="5">
        <f>COUNTIF(J14:AV14,"CORRECTO")</f>
        <v/>
      </c>
      <c r="AX14" s="5">
        <f>COUNTIF(J14:AV14,"INCORRECTO")</f>
        <v/>
      </c>
      <c r="AY14" s="5" t="n">
        <v>20</v>
      </c>
      <c r="AZ14" s="6">
        <f>AW14/AY14</f>
        <v/>
      </c>
    </row>
    <row r="15">
      <c r="A15" s="2" t="inlineStr">
        <is>
          <t>TRATADO</t>
        </is>
      </c>
      <c r="B15" s="2" t="inlineStr">
        <is>
          <t>111001800392</t>
        </is>
      </c>
      <c r="C15" s="2" t="inlineStr">
        <is>
          <t>COLEGIO SOLEDAD ACOSTA DE SAMPER (IED) - SEDE PRINCIPAL</t>
        </is>
      </c>
      <c r="D15" s="2" t="inlineStr">
        <is>
          <t>DILAN STIVEN SANCHEZ GAMEZ</t>
        </is>
      </c>
      <c r="E15" s="2" t="inlineStr">
        <is>
          <t>1057919701</t>
        </is>
      </c>
      <c r="F15" s="2" t="n">
        <v>5</v>
      </c>
      <c r="G15" s="2" t="n">
        <v>501</v>
      </c>
      <c r="H15" s="2" t="inlineStr">
        <is>
          <t>LENGUAJE</t>
        </is>
      </c>
      <c r="I15" s="2" t="inlineStr">
        <is>
          <t>C</t>
        </is>
      </c>
      <c r="J15" s="4" t="inlineStr">
        <is>
          <t>CORRECTO</t>
        </is>
      </c>
      <c r="K15" s="2" t="inlineStr">
        <is>
          <t>C</t>
        </is>
      </c>
      <c r="L15" s="4" t="inlineStr">
        <is>
          <t>CORRECTO</t>
        </is>
      </c>
      <c r="M15" s="2" t="inlineStr">
        <is>
          <t>B</t>
        </is>
      </c>
      <c r="N15" s="4" t="inlineStr">
        <is>
          <t>CORRECTO</t>
        </is>
      </c>
      <c r="O15" s="2" t="inlineStr"/>
      <c r="P15" s="3" t="inlineStr">
        <is>
          <t>INCORRECTO</t>
        </is>
      </c>
      <c r="Q15" s="2" t="inlineStr">
        <is>
          <t>C</t>
        </is>
      </c>
      <c r="R15" s="4" t="inlineStr">
        <is>
          <t>CORRECTO</t>
        </is>
      </c>
      <c r="S15" s="2" t="inlineStr">
        <is>
          <t>A</t>
        </is>
      </c>
      <c r="T15" s="4" t="inlineStr">
        <is>
          <t>CORRECTO</t>
        </is>
      </c>
      <c r="U15" s="2" t="inlineStr">
        <is>
          <t>B</t>
        </is>
      </c>
      <c r="V15" s="4" t="inlineStr">
        <is>
          <t>CORRECTO</t>
        </is>
      </c>
      <c r="W15" s="2" t="inlineStr">
        <is>
          <t>C</t>
        </is>
      </c>
      <c r="X15" s="4" t="inlineStr">
        <is>
          <t>CORRECTO</t>
        </is>
      </c>
      <c r="Y15" s="2" t="inlineStr">
        <is>
          <t>C</t>
        </is>
      </c>
      <c r="Z15" s="4" t="inlineStr">
        <is>
          <t>CORRECTO</t>
        </is>
      </c>
      <c r="AA15" s="2" t="inlineStr">
        <is>
          <t>B</t>
        </is>
      </c>
      <c r="AB15" s="4" t="inlineStr">
        <is>
          <t>CORRECTO</t>
        </is>
      </c>
      <c r="AC15" s="2" t="inlineStr">
        <is>
          <t>B</t>
        </is>
      </c>
      <c r="AD15" s="3" t="inlineStr">
        <is>
          <t>INCORRECTO</t>
        </is>
      </c>
      <c r="AE15" s="2" t="inlineStr">
        <is>
          <t>B</t>
        </is>
      </c>
      <c r="AF15" s="4" t="inlineStr">
        <is>
          <t>CORRECTO</t>
        </is>
      </c>
      <c r="AG15" s="2" t="inlineStr">
        <is>
          <t>B</t>
        </is>
      </c>
      <c r="AH15" s="4" t="inlineStr">
        <is>
          <t>CORRECTO</t>
        </is>
      </c>
      <c r="AI15" s="2" t="inlineStr">
        <is>
          <t>C</t>
        </is>
      </c>
      <c r="AJ15" s="4" t="inlineStr">
        <is>
          <t>CORRECTO</t>
        </is>
      </c>
      <c r="AK15" s="2" t="inlineStr">
        <is>
          <t>B</t>
        </is>
      </c>
      <c r="AL15" s="4" t="inlineStr">
        <is>
          <t>CORRECTO</t>
        </is>
      </c>
      <c r="AM15" s="2" t="inlineStr">
        <is>
          <t>C</t>
        </is>
      </c>
      <c r="AN15" s="4" t="inlineStr">
        <is>
          <t>CORRECTO</t>
        </is>
      </c>
      <c r="AO15" s="2" t="inlineStr">
        <is>
          <t>A</t>
        </is>
      </c>
      <c r="AP15" s="4" t="inlineStr">
        <is>
          <t>CORRECTO</t>
        </is>
      </c>
      <c r="AQ15" s="2" t="inlineStr">
        <is>
          <t>C</t>
        </is>
      </c>
      <c r="AR15" s="4" t="inlineStr">
        <is>
          <t>CORRECTO</t>
        </is>
      </c>
      <c r="AS15" s="2" t="inlineStr">
        <is>
          <t>D</t>
        </is>
      </c>
      <c r="AT15" s="3" t="inlineStr">
        <is>
          <t>INCORRECTO</t>
        </is>
      </c>
      <c r="AU15" s="2" t="inlineStr">
        <is>
          <t>B</t>
        </is>
      </c>
      <c r="AV15" s="3" t="inlineStr">
        <is>
          <t>INCORRECTO</t>
        </is>
      </c>
      <c r="AW15" s="5">
        <f>COUNTIF(J15:AV15,"CORRECTO")</f>
        <v/>
      </c>
      <c r="AX15" s="5">
        <f>COUNTIF(J15:AV15,"INCORRECTO")</f>
        <v/>
      </c>
      <c r="AY15" s="5" t="n">
        <v>20</v>
      </c>
      <c r="AZ15" s="6">
        <f>AW15/AY15</f>
        <v/>
      </c>
    </row>
    <row r="16">
      <c r="A16" s="2" t="inlineStr">
        <is>
          <t>TRATADO</t>
        </is>
      </c>
      <c r="B16" s="2" t="inlineStr">
        <is>
          <t>111001800392</t>
        </is>
      </c>
      <c r="C16" s="2" t="inlineStr">
        <is>
          <t>COLEGIO SOLEDAD ACOSTA DE SAMPER (IED) - SEDE PRINCIPAL</t>
        </is>
      </c>
      <c r="D16" s="2" t="inlineStr">
        <is>
          <t>EMILIANA AVILES TRUJILLO</t>
        </is>
      </c>
      <c r="E16" s="2" t="inlineStr">
        <is>
          <t>1034788543</t>
        </is>
      </c>
      <c r="F16" s="2" t="n">
        <v>5</v>
      </c>
      <c r="G16" s="2" t="n">
        <v>501</v>
      </c>
      <c r="H16" s="2" t="inlineStr">
        <is>
          <t>LENGUAJE</t>
        </is>
      </c>
      <c r="I16" s="2" t="inlineStr">
        <is>
          <t>C</t>
        </is>
      </c>
      <c r="J16" s="4" t="inlineStr">
        <is>
          <t>CORRECTO</t>
        </is>
      </c>
      <c r="K16" s="2" t="inlineStr">
        <is>
          <t>C</t>
        </is>
      </c>
      <c r="L16" s="4" t="inlineStr">
        <is>
          <t>CORRECTO</t>
        </is>
      </c>
      <c r="M16" s="2" t="inlineStr">
        <is>
          <t>B</t>
        </is>
      </c>
      <c r="N16" s="4" t="inlineStr">
        <is>
          <t>CORRECTO</t>
        </is>
      </c>
      <c r="O16" s="2" t="inlineStr">
        <is>
          <t>C</t>
        </is>
      </c>
      <c r="P16" s="4" t="inlineStr">
        <is>
          <t>CORRECTO</t>
        </is>
      </c>
      <c r="Q16" s="2" t="inlineStr">
        <is>
          <t>C</t>
        </is>
      </c>
      <c r="R16" s="4" t="inlineStr">
        <is>
          <t>CORRECTO</t>
        </is>
      </c>
      <c r="S16" s="2" t="inlineStr">
        <is>
          <t>A</t>
        </is>
      </c>
      <c r="T16" s="4" t="inlineStr">
        <is>
          <t>CORRECTO</t>
        </is>
      </c>
      <c r="U16" s="2" t="inlineStr">
        <is>
          <t>B</t>
        </is>
      </c>
      <c r="V16" s="4" t="inlineStr">
        <is>
          <t>CORRECTO</t>
        </is>
      </c>
      <c r="W16" s="2" t="inlineStr">
        <is>
          <t>C</t>
        </is>
      </c>
      <c r="X16" s="4" t="inlineStr">
        <is>
          <t>CORRECTO</t>
        </is>
      </c>
      <c r="Y16" s="2" t="inlineStr">
        <is>
          <t>C</t>
        </is>
      </c>
      <c r="Z16" s="4" t="inlineStr">
        <is>
          <t>CORRECTO</t>
        </is>
      </c>
      <c r="AA16" s="2" t="inlineStr">
        <is>
          <t>D</t>
        </is>
      </c>
      <c r="AB16" s="3" t="inlineStr">
        <is>
          <t>INCORRECTO</t>
        </is>
      </c>
      <c r="AC16" s="2" t="inlineStr">
        <is>
          <t>D</t>
        </is>
      </c>
      <c r="AD16" s="3" t="inlineStr">
        <is>
          <t>INCORRECTO</t>
        </is>
      </c>
      <c r="AE16" s="2" t="inlineStr">
        <is>
          <t>A</t>
        </is>
      </c>
      <c r="AF16" s="3" t="inlineStr">
        <is>
          <t>INCORRECTO</t>
        </is>
      </c>
      <c r="AG16" s="2" t="inlineStr">
        <is>
          <t>A</t>
        </is>
      </c>
      <c r="AH16" s="3" t="inlineStr">
        <is>
          <t>INCORRECTO</t>
        </is>
      </c>
      <c r="AI16" s="2" t="inlineStr">
        <is>
          <t>D</t>
        </is>
      </c>
      <c r="AJ16" s="3" t="inlineStr">
        <is>
          <t>INCORRECTO</t>
        </is>
      </c>
      <c r="AK16" s="2" t="inlineStr">
        <is>
          <t>B</t>
        </is>
      </c>
      <c r="AL16" s="4" t="inlineStr">
        <is>
          <t>CORRECTO</t>
        </is>
      </c>
      <c r="AM16" s="2" t="inlineStr">
        <is>
          <t>A</t>
        </is>
      </c>
      <c r="AN16" s="3" t="inlineStr">
        <is>
          <t>INCORRECTO</t>
        </is>
      </c>
      <c r="AO16" s="2" t="inlineStr">
        <is>
          <t>A</t>
        </is>
      </c>
      <c r="AP16" s="4" t="inlineStr">
        <is>
          <t>CORRECTO</t>
        </is>
      </c>
      <c r="AQ16" s="2" t="inlineStr">
        <is>
          <t>C</t>
        </is>
      </c>
      <c r="AR16" s="4" t="inlineStr">
        <is>
          <t>CORRECTO</t>
        </is>
      </c>
      <c r="AS16" s="2" t="inlineStr">
        <is>
          <t>C</t>
        </is>
      </c>
      <c r="AT16" s="3" t="inlineStr">
        <is>
          <t>INCORRECTO</t>
        </is>
      </c>
      <c r="AU16" s="2" t="inlineStr">
        <is>
          <t>B</t>
        </is>
      </c>
      <c r="AV16" s="3" t="inlineStr">
        <is>
          <t>INCORRECTO</t>
        </is>
      </c>
      <c r="AW16" s="5">
        <f>COUNTIF(J16:AV16,"CORRECTO")</f>
        <v/>
      </c>
      <c r="AX16" s="5">
        <f>COUNTIF(J16:AV16,"INCORRECTO")</f>
        <v/>
      </c>
      <c r="AY16" s="5" t="n">
        <v>20</v>
      </c>
      <c r="AZ16" s="6">
        <f>AW16/AY16</f>
        <v/>
      </c>
    </row>
    <row r="17">
      <c r="A17" s="2" t="inlineStr">
        <is>
          <t>TRATADO</t>
        </is>
      </c>
      <c r="B17" s="2" t="inlineStr">
        <is>
          <t>111001800392</t>
        </is>
      </c>
      <c r="C17" s="2" t="inlineStr">
        <is>
          <t>COLEGIO SOLEDAD ACOSTA DE SAMPER (IED) - SEDE PRINCIPAL</t>
        </is>
      </c>
      <c r="D17" s="2" t="inlineStr">
        <is>
          <t>JULIAN ESTEBAN ROJAS URREGO</t>
        </is>
      </c>
      <c r="E17" s="2" t="inlineStr">
        <is>
          <t>1025076168</t>
        </is>
      </c>
      <c r="F17" s="2" t="n">
        <v>5</v>
      </c>
      <c r="G17" s="2" t="n">
        <v>501</v>
      </c>
      <c r="H17" s="2" t="inlineStr">
        <is>
          <t>LENGUAJE</t>
        </is>
      </c>
      <c r="I17" s="2" t="inlineStr">
        <is>
          <t>A</t>
        </is>
      </c>
      <c r="J17" s="3" t="inlineStr">
        <is>
          <t>INCORRECTO</t>
        </is>
      </c>
      <c r="K17" s="2" t="inlineStr">
        <is>
          <t>C</t>
        </is>
      </c>
      <c r="L17" s="4" t="inlineStr">
        <is>
          <t>CORRECTO</t>
        </is>
      </c>
      <c r="M17" s="2" t="inlineStr">
        <is>
          <t>B</t>
        </is>
      </c>
      <c r="N17" s="4" t="inlineStr">
        <is>
          <t>CORRECTO</t>
        </is>
      </c>
      <c r="O17" s="2" t="inlineStr">
        <is>
          <t>C</t>
        </is>
      </c>
      <c r="P17" s="4" t="inlineStr">
        <is>
          <t>CORRECTO</t>
        </is>
      </c>
      <c r="Q17" s="2" t="inlineStr">
        <is>
          <t>C</t>
        </is>
      </c>
      <c r="R17" s="4" t="inlineStr">
        <is>
          <t>CORRECTO</t>
        </is>
      </c>
      <c r="S17" s="2" t="inlineStr">
        <is>
          <t>A</t>
        </is>
      </c>
      <c r="T17" s="4" t="inlineStr">
        <is>
          <t>CORRECTO</t>
        </is>
      </c>
      <c r="U17" s="2" t="inlineStr">
        <is>
          <t>C</t>
        </is>
      </c>
      <c r="V17" s="3" t="inlineStr">
        <is>
          <t>INCORRECTO</t>
        </is>
      </c>
      <c r="W17" s="2" t="inlineStr">
        <is>
          <t>B</t>
        </is>
      </c>
      <c r="X17" s="3" t="inlineStr">
        <is>
          <t>INCORRECTO</t>
        </is>
      </c>
      <c r="Y17" s="2" t="inlineStr">
        <is>
          <t>C</t>
        </is>
      </c>
      <c r="Z17" s="4" t="inlineStr">
        <is>
          <t>CORRECTO</t>
        </is>
      </c>
      <c r="AA17" s="2" t="inlineStr">
        <is>
          <t>A</t>
        </is>
      </c>
      <c r="AB17" s="3" t="inlineStr">
        <is>
          <t>INCORRECTO</t>
        </is>
      </c>
      <c r="AC17" s="2" t="inlineStr">
        <is>
          <t>B</t>
        </is>
      </c>
      <c r="AD17" s="3" t="inlineStr">
        <is>
          <t>INCORRECTO</t>
        </is>
      </c>
      <c r="AE17" s="2" t="inlineStr">
        <is>
          <t>B</t>
        </is>
      </c>
      <c r="AF17" s="4" t="inlineStr">
        <is>
          <t>CORRECTO</t>
        </is>
      </c>
      <c r="AG17" s="2" t="inlineStr">
        <is>
          <t>B</t>
        </is>
      </c>
      <c r="AH17" s="4" t="inlineStr">
        <is>
          <t>CORRECTO</t>
        </is>
      </c>
      <c r="AI17" s="2" t="inlineStr">
        <is>
          <t>D</t>
        </is>
      </c>
      <c r="AJ17" s="3" t="inlineStr">
        <is>
          <t>INCORRECTO</t>
        </is>
      </c>
      <c r="AK17" s="2" t="inlineStr">
        <is>
          <t>C</t>
        </is>
      </c>
      <c r="AL17" s="3" t="inlineStr">
        <is>
          <t>INCORRECTO</t>
        </is>
      </c>
      <c r="AM17" s="2" t="inlineStr">
        <is>
          <t>C</t>
        </is>
      </c>
      <c r="AN17" s="4" t="inlineStr">
        <is>
          <t>CORRECTO</t>
        </is>
      </c>
      <c r="AO17" s="2" t="inlineStr">
        <is>
          <t>A</t>
        </is>
      </c>
      <c r="AP17" s="4" t="inlineStr">
        <is>
          <t>CORRECTO</t>
        </is>
      </c>
      <c r="AQ17" s="2" t="inlineStr">
        <is>
          <t>C</t>
        </is>
      </c>
      <c r="AR17" s="4" t="inlineStr">
        <is>
          <t>CORRECTO</t>
        </is>
      </c>
      <c r="AS17" s="2" t="inlineStr">
        <is>
          <t>C</t>
        </is>
      </c>
      <c r="AT17" s="3" t="inlineStr">
        <is>
          <t>INCORRECTO</t>
        </is>
      </c>
      <c r="AU17" s="2" t="inlineStr">
        <is>
          <t>C</t>
        </is>
      </c>
      <c r="AV17" s="4" t="inlineStr">
        <is>
          <t>CORRECTO</t>
        </is>
      </c>
      <c r="AW17" s="5">
        <f>COUNTIF(J17:AV17,"CORRECTO")</f>
        <v/>
      </c>
      <c r="AX17" s="5">
        <f>COUNTIF(J17:AV17,"INCORRECTO")</f>
        <v/>
      </c>
      <c r="AY17" s="5" t="n">
        <v>20</v>
      </c>
      <c r="AZ17" s="6">
        <f>AW17/AY17</f>
        <v/>
      </c>
    </row>
    <row r="18">
      <c r="A18" s="2" t="inlineStr">
        <is>
          <t>TRATADO</t>
        </is>
      </c>
      <c r="B18" s="2" t="inlineStr">
        <is>
          <t>111001800392</t>
        </is>
      </c>
      <c r="C18" s="2" t="inlineStr">
        <is>
          <t>COLEGIO SOLEDAD ACOSTA DE SAMPER (IED) - SEDE PRINCIPAL</t>
        </is>
      </c>
      <c r="D18" s="2" t="inlineStr">
        <is>
          <t>NASHLY DANIELA BARRERA ZAMBRANO</t>
        </is>
      </c>
      <c r="E18" s="2" t="inlineStr">
        <is>
          <t>1028877532</t>
        </is>
      </c>
      <c r="F18" s="2" t="n">
        <v>5</v>
      </c>
      <c r="G18" s="2" t="n">
        <v>501</v>
      </c>
      <c r="H18" s="2" t="inlineStr">
        <is>
          <t>LENGUAJE</t>
        </is>
      </c>
      <c r="I18" s="2" t="inlineStr">
        <is>
          <t>C</t>
        </is>
      </c>
      <c r="J18" s="4" t="inlineStr">
        <is>
          <t>CORRECTO</t>
        </is>
      </c>
      <c r="K18" s="2" t="inlineStr">
        <is>
          <t>C</t>
        </is>
      </c>
      <c r="L18" s="4" t="inlineStr">
        <is>
          <t>CORRECTO</t>
        </is>
      </c>
      <c r="M18" s="2" t="inlineStr">
        <is>
          <t>B</t>
        </is>
      </c>
      <c r="N18" s="4" t="inlineStr">
        <is>
          <t>CORRECTO</t>
        </is>
      </c>
      <c r="O18" s="2" t="inlineStr">
        <is>
          <t>C</t>
        </is>
      </c>
      <c r="P18" s="4" t="inlineStr">
        <is>
          <t>CORRECTO</t>
        </is>
      </c>
      <c r="Q18" s="2" t="inlineStr">
        <is>
          <t>B</t>
        </is>
      </c>
      <c r="R18" s="3" t="inlineStr">
        <is>
          <t>INCORRECTO</t>
        </is>
      </c>
      <c r="S18" s="2" t="inlineStr">
        <is>
          <t>A</t>
        </is>
      </c>
      <c r="T18" s="4" t="inlineStr">
        <is>
          <t>CORRECTO</t>
        </is>
      </c>
      <c r="U18" s="2" t="inlineStr">
        <is>
          <t>B</t>
        </is>
      </c>
      <c r="V18" s="4" t="inlineStr">
        <is>
          <t>CORRECTO</t>
        </is>
      </c>
      <c r="W18" s="2" t="inlineStr">
        <is>
          <t>C</t>
        </is>
      </c>
      <c r="X18" s="4" t="inlineStr">
        <is>
          <t>CORRECTO</t>
        </is>
      </c>
      <c r="Y18" s="2" t="inlineStr">
        <is>
          <t>C</t>
        </is>
      </c>
      <c r="Z18" s="4" t="inlineStr">
        <is>
          <t>CORRECTO</t>
        </is>
      </c>
      <c r="AA18" s="2" t="inlineStr">
        <is>
          <t>D</t>
        </is>
      </c>
      <c r="AB18" s="3" t="inlineStr">
        <is>
          <t>INCORRECTO</t>
        </is>
      </c>
      <c r="AC18" s="2" t="inlineStr">
        <is>
          <t>A</t>
        </is>
      </c>
      <c r="AD18" s="3" t="inlineStr">
        <is>
          <t>INCORRECTO</t>
        </is>
      </c>
      <c r="AE18" s="2" t="inlineStr">
        <is>
          <t>B</t>
        </is>
      </c>
      <c r="AF18" s="4" t="inlineStr">
        <is>
          <t>CORRECTO</t>
        </is>
      </c>
      <c r="AG18" s="2" t="inlineStr">
        <is>
          <t>B</t>
        </is>
      </c>
      <c r="AH18" s="4" t="inlineStr">
        <is>
          <t>CORRECTO</t>
        </is>
      </c>
      <c r="AI18" s="2" t="inlineStr">
        <is>
          <t>C</t>
        </is>
      </c>
      <c r="AJ18" s="4" t="inlineStr">
        <is>
          <t>CORRECTO</t>
        </is>
      </c>
      <c r="AK18" s="2" t="inlineStr">
        <is>
          <t>B</t>
        </is>
      </c>
      <c r="AL18" s="4" t="inlineStr">
        <is>
          <t>CORRECTO</t>
        </is>
      </c>
      <c r="AM18" s="2" t="inlineStr">
        <is>
          <t>C</t>
        </is>
      </c>
      <c r="AN18" s="4" t="inlineStr">
        <is>
          <t>CORRECTO</t>
        </is>
      </c>
      <c r="AO18" s="2" t="inlineStr">
        <is>
          <t>A</t>
        </is>
      </c>
      <c r="AP18" s="4" t="inlineStr">
        <is>
          <t>CORRECTO</t>
        </is>
      </c>
      <c r="AQ18" s="2" t="inlineStr">
        <is>
          <t>C</t>
        </is>
      </c>
      <c r="AR18" s="4" t="inlineStr">
        <is>
          <t>CORRECTO</t>
        </is>
      </c>
      <c r="AS18" s="2" t="inlineStr">
        <is>
          <t>B</t>
        </is>
      </c>
      <c r="AT18" s="4" t="inlineStr">
        <is>
          <t>CORRECTO</t>
        </is>
      </c>
      <c r="AU18" s="2" t="inlineStr">
        <is>
          <t>A</t>
        </is>
      </c>
      <c r="AV18" s="3" t="inlineStr">
        <is>
          <t>INCORRECTO</t>
        </is>
      </c>
      <c r="AW18" s="5">
        <f>COUNTIF(J18:AV18,"CORRECTO")</f>
        <v/>
      </c>
      <c r="AX18" s="5">
        <f>COUNTIF(J18:AV18,"INCORRECTO")</f>
        <v/>
      </c>
      <c r="AY18" s="5" t="n">
        <v>20</v>
      </c>
      <c r="AZ18" s="6">
        <f>AW18/AY18</f>
        <v/>
      </c>
    </row>
    <row r="19">
      <c r="A19" s="2" t="inlineStr">
        <is>
          <t>TRATADO</t>
        </is>
      </c>
      <c r="B19" s="2" t="inlineStr">
        <is>
          <t>111001800392</t>
        </is>
      </c>
      <c r="C19" s="2" t="inlineStr">
        <is>
          <t>COLEGIO SOLEDAD ACOSTA DE SAMPER (IED) - SEDE PRINCIPAL</t>
        </is>
      </c>
      <c r="D19" s="2" t="inlineStr">
        <is>
          <t>EMMY SHANTHAL CABARCA MELO</t>
        </is>
      </c>
      <c r="E19" s="2" t="inlineStr">
        <is>
          <t>1066097029</t>
        </is>
      </c>
      <c r="F19" s="2" t="n">
        <v>5</v>
      </c>
      <c r="G19" s="2" t="n">
        <v>501</v>
      </c>
      <c r="H19" s="2" t="inlineStr">
        <is>
          <t>LENGUAJE</t>
        </is>
      </c>
      <c r="I19" s="2" t="inlineStr">
        <is>
          <t>D</t>
        </is>
      </c>
      <c r="J19" s="3" t="inlineStr">
        <is>
          <t>INCORRECTO</t>
        </is>
      </c>
      <c r="K19" s="2" t="inlineStr">
        <is>
          <t>C</t>
        </is>
      </c>
      <c r="L19" s="4" t="inlineStr">
        <is>
          <t>CORRECTO</t>
        </is>
      </c>
      <c r="M19" s="2" t="inlineStr">
        <is>
          <t>B</t>
        </is>
      </c>
      <c r="N19" s="4" t="inlineStr">
        <is>
          <t>CORRECTO</t>
        </is>
      </c>
      <c r="O19" s="2" t="inlineStr">
        <is>
          <t>C</t>
        </is>
      </c>
      <c r="P19" s="4" t="inlineStr">
        <is>
          <t>CORRECTO</t>
        </is>
      </c>
      <c r="Q19" s="2" t="inlineStr">
        <is>
          <t>C</t>
        </is>
      </c>
      <c r="R19" s="4" t="inlineStr">
        <is>
          <t>CORRECTO</t>
        </is>
      </c>
      <c r="S19" s="2" t="inlineStr">
        <is>
          <t>A</t>
        </is>
      </c>
      <c r="T19" s="4" t="inlineStr">
        <is>
          <t>CORRECTO</t>
        </is>
      </c>
      <c r="U19" s="2" t="inlineStr">
        <is>
          <t>B</t>
        </is>
      </c>
      <c r="V19" s="4" t="inlineStr">
        <is>
          <t>CORRECTO</t>
        </is>
      </c>
      <c r="W19" s="2" t="inlineStr">
        <is>
          <t>C</t>
        </is>
      </c>
      <c r="X19" s="4" t="inlineStr">
        <is>
          <t>CORRECTO</t>
        </is>
      </c>
      <c r="Y19" s="2" t="inlineStr">
        <is>
          <t>C</t>
        </is>
      </c>
      <c r="Z19" s="4" t="inlineStr">
        <is>
          <t>CORRECTO</t>
        </is>
      </c>
      <c r="AA19" s="2" t="inlineStr">
        <is>
          <t>B</t>
        </is>
      </c>
      <c r="AB19" s="4" t="inlineStr">
        <is>
          <t>CORRECTO</t>
        </is>
      </c>
      <c r="AC19" s="2" t="inlineStr">
        <is>
          <t>A</t>
        </is>
      </c>
      <c r="AD19" s="3" t="inlineStr">
        <is>
          <t>INCORRECTO</t>
        </is>
      </c>
      <c r="AE19" s="2" t="inlineStr">
        <is>
          <t>B</t>
        </is>
      </c>
      <c r="AF19" s="4" t="inlineStr">
        <is>
          <t>CORRECTO</t>
        </is>
      </c>
      <c r="AG19" s="2" t="inlineStr">
        <is>
          <t>B</t>
        </is>
      </c>
      <c r="AH19" s="4" t="inlineStr">
        <is>
          <t>CORRECTO</t>
        </is>
      </c>
      <c r="AI19" s="2" t="inlineStr">
        <is>
          <t>C</t>
        </is>
      </c>
      <c r="AJ19" s="4" t="inlineStr">
        <is>
          <t>CORRECTO</t>
        </is>
      </c>
      <c r="AK19" s="2" t="inlineStr">
        <is>
          <t>B</t>
        </is>
      </c>
      <c r="AL19" s="4" t="inlineStr">
        <is>
          <t>CORRECTO</t>
        </is>
      </c>
      <c r="AM19" s="2" t="inlineStr">
        <is>
          <t>D</t>
        </is>
      </c>
      <c r="AN19" s="3" t="inlineStr">
        <is>
          <t>INCORRECTO</t>
        </is>
      </c>
      <c r="AO19" s="2" t="inlineStr">
        <is>
          <t>A</t>
        </is>
      </c>
      <c r="AP19" s="4" t="inlineStr">
        <is>
          <t>CORRECTO</t>
        </is>
      </c>
      <c r="AQ19" s="2" t="inlineStr">
        <is>
          <t>C</t>
        </is>
      </c>
      <c r="AR19" s="4" t="inlineStr">
        <is>
          <t>CORRECTO</t>
        </is>
      </c>
      <c r="AS19" s="2" t="inlineStr">
        <is>
          <t>D</t>
        </is>
      </c>
      <c r="AT19" s="3" t="inlineStr">
        <is>
          <t>INCORRECTO</t>
        </is>
      </c>
      <c r="AU19" s="2" t="inlineStr">
        <is>
          <t>C</t>
        </is>
      </c>
      <c r="AV19" s="4" t="inlineStr">
        <is>
          <t>CORRECTO</t>
        </is>
      </c>
      <c r="AW19" s="5">
        <f>COUNTIF(J19:AV19,"CORRECTO")</f>
        <v/>
      </c>
      <c r="AX19" s="5">
        <f>COUNTIF(J19:AV19,"INCORRECTO")</f>
        <v/>
      </c>
      <c r="AY19" s="5" t="n">
        <v>20</v>
      </c>
      <c r="AZ19" s="6">
        <f>AW19/AY19</f>
        <v/>
      </c>
    </row>
    <row r="20">
      <c r="A20" s="2" t="inlineStr">
        <is>
          <t>TRATADO</t>
        </is>
      </c>
      <c r="B20" s="2" t="inlineStr">
        <is>
          <t>111001800392</t>
        </is>
      </c>
      <c r="C20" s="2" t="inlineStr">
        <is>
          <t>COLEGIO SOLEDAD ACOSTA DE SAMPER (IED) - SEDE PRINCIPAL</t>
        </is>
      </c>
      <c r="D20" s="2" t="inlineStr">
        <is>
          <t>DAFNE LUCIANA GARCIA PIAMBA</t>
        </is>
      </c>
      <c r="E20" s="2" t="inlineStr">
        <is>
          <t>1141355418</t>
        </is>
      </c>
      <c r="F20" s="2" t="n">
        <v>5</v>
      </c>
      <c r="G20" s="2" t="n">
        <v>501</v>
      </c>
      <c r="H20" s="2" t="inlineStr">
        <is>
          <t>LENGUAJE</t>
        </is>
      </c>
      <c r="I20" s="2" t="inlineStr">
        <is>
          <t>C</t>
        </is>
      </c>
      <c r="J20" s="4" t="inlineStr">
        <is>
          <t>CORRECTO</t>
        </is>
      </c>
      <c r="K20" s="2" t="inlineStr">
        <is>
          <t>C</t>
        </is>
      </c>
      <c r="L20" s="4" t="inlineStr">
        <is>
          <t>CORRECTO</t>
        </is>
      </c>
      <c r="M20" s="2" t="inlineStr">
        <is>
          <t>B</t>
        </is>
      </c>
      <c r="N20" s="4" t="inlineStr">
        <is>
          <t>CORRECTO</t>
        </is>
      </c>
      <c r="O20" s="2" t="inlineStr">
        <is>
          <t>C</t>
        </is>
      </c>
      <c r="P20" s="4" t="inlineStr">
        <is>
          <t>CORRECTO</t>
        </is>
      </c>
      <c r="Q20" s="2" t="inlineStr">
        <is>
          <t>B</t>
        </is>
      </c>
      <c r="R20" s="3" t="inlineStr">
        <is>
          <t>INCORRECTO</t>
        </is>
      </c>
      <c r="S20" s="2" t="inlineStr">
        <is>
          <t>A</t>
        </is>
      </c>
      <c r="T20" s="4" t="inlineStr">
        <is>
          <t>CORRECTO</t>
        </is>
      </c>
      <c r="U20" s="2" t="inlineStr">
        <is>
          <t>B</t>
        </is>
      </c>
      <c r="V20" s="4" t="inlineStr">
        <is>
          <t>CORRECTO</t>
        </is>
      </c>
      <c r="W20" s="2" t="inlineStr">
        <is>
          <t>C</t>
        </is>
      </c>
      <c r="X20" s="4" t="inlineStr">
        <is>
          <t>CORRECTO</t>
        </is>
      </c>
      <c r="Y20" s="2" t="inlineStr">
        <is>
          <t>C</t>
        </is>
      </c>
      <c r="Z20" s="4" t="inlineStr">
        <is>
          <t>CORRECTO</t>
        </is>
      </c>
      <c r="AA20" s="2" t="inlineStr">
        <is>
          <t>D</t>
        </is>
      </c>
      <c r="AB20" s="3" t="inlineStr">
        <is>
          <t>INCORRECTO</t>
        </is>
      </c>
      <c r="AC20" s="2" t="inlineStr">
        <is>
          <t>A</t>
        </is>
      </c>
      <c r="AD20" s="3" t="inlineStr">
        <is>
          <t>INCORRECTO</t>
        </is>
      </c>
      <c r="AE20" s="2" t="inlineStr">
        <is>
          <t>B</t>
        </is>
      </c>
      <c r="AF20" s="4" t="inlineStr">
        <is>
          <t>CORRECTO</t>
        </is>
      </c>
      <c r="AG20" s="2" t="inlineStr">
        <is>
          <t>B</t>
        </is>
      </c>
      <c r="AH20" s="4" t="inlineStr">
        <is>
          <t>CORRECTO</t>
        </is>
      </c>
      <c r="AI20" s="2" t="inlineStr">
        <is>
          <t>C</t>
        </is>
      </c>
      <c r="AJ20" s="4" t="inlineStr">
        <is>
          <t>CORRECTO</t>
        </is>
      </c>
      <c r="AK20" s="2" t="inlineStr">
        <is>
          <t>B</t>
        </is>
      </c>
      <c r="AL20" s="4" t="inlineStr">
        <is>
          <t>CORRECTO</t>
        </is>
      </c>
      <c r="AM20" s="2" t="inlineStr">
        <is>
          <t>A</t>
        </is>
      </c>
      <c r="AN20" s="3" t="inlineStr">
        <is>
          <t>INCORRECTO</t>
        </is>
      </c>
      <c r="AO20" s="2" t="inlineStr">
        <is>
          <t>A</t>
        </is>
      </c>
      <c r="AP20" s="4" t="inlineStr">
        <is>
          <t>CORRECTO</t>
        </is>
      </c>
      <c r="AQ20" s="2" t="inlineStr">
        <is>
          <t>C</t>
        </is>
      </c>
      <c r="AR20" s="4" t="inlineStr">
        <is>
          <t>CORRECTO</t>
        </is>
      </c>
      <c r="AS20" s="2" t="inlineStr">
        <is>
          <t>B</t>
        </is>
      </c>
      <c r="AT20" s="4" t="inlineStr">
        <is>
          <t>CORRECTO</t>
        </is>
      </c>
      <c r="AU20" s="2" t="inlineStr">
        <is>
          <t>A</t>
        </is>
      </c>
      <c r="AV20" s="3" t="inlineStr">
        <is>
          <t>INCORRECTO</t>
        </is>
      </c>
      <c r="AW20" s="5">
        <f>COUNTIF(J20:AV20,"CORRECTO")</f>
        <v/>
      </c>
      <c r="AX20" s="5">
        <f>COUNTIF(J20:AV20,"INCORRECTO")</f>
        <v/>
      </c>
      <c r="AY20" s="5" t="n">
        <v>20</v>
      </c>
      <c r="AZ20" s="6">
        <f>AW20/AY20</f>
        <v/>
      </c>
    </row>
    <row r="21">
      <c r="A21" s="2" t="inlineStr">
        <is>
          <t>TRATADO</t>
        </is>
      </c>
      <c r="B21" s="2" t="inlineStr">
        <is>
          <t>111001800392</t>
        </is>
      </c>
      <c r="C21" s="2" t="inlineStr">
        <is>
          <t>COLEGIO SOLEDAD ACOSTA DE SAMPER (IED) - SEDE PRINCIPAL</t>
        </is>
      </c>
      <c r="D21" s="2" t="inlineStr">
        <is>
          <t>NICOLAS STEBAN PALACIOS TIRADO</t>
        </is>
      </c>
      <c r="E21" s="2" t="inlineStr">
        <is>
          <t>1233494561</t>
        </is>
      </c>
      <c r="F21" s="2" t="n">
        <v>5</v>
      </c>
      <c r="G21" s="2" t="n">
        <v>501</v>
      </c>
      <c r="H21" s="2" t="inlineStr">
        <is>
          <t>LENGUAJE</t>
        </is>
      </c>
      <c r="I21" s="2" t="inlineStr">
        <is>
          <t>B</t>
        </is>
      </c>
      <c r="J21" s="3" t="inlineStr">
        <is>
          <t>INCORRECTO</t>
        </is>
      </c>
      <c r="K21" s="2" t="inlineStr">
        <is>
          <t>C</t>
        </is>
      </c>
      <c r="L21" s="4" t="inlineStr">
        <is>
          <t>CORRECTO</t>
        </is>
      </c>
      <c r="M21" s="2" t="inlineStr">
        <is>
          <t>B</t>
        </is>
      </c>
      <c r="N21" s="4" t="inlineStr">
        <is>
          <t>CORRECTO</t>
        </is>
      </c>
      <c r="O21" s="2" t="inlineStr">
        <is>
          <t>C</t>
        </is>
      </c>
      <c r="P21" s="4" t="inlineStr">
        <is>
          <t>CORRECTO</t>
        </is>
      </c>
      <c r="Q21" s="2" t="inlineStr">
        <is>
          <t>C</t>
        </is>
      </c>
      <c r="R21" s="4" t="inlineStr">
        <is>
          <t>CORRECTO</t>
        </is>
      </c>
      <c r="S21" s="2" t="inlineStr">
        <is>
          <t>A</t>
        </is>
      </c>
      <c r="T21" s="4" t="inlineStr">
        <is>
          <t>CORRECTO</t>
        </is>
      </c>
      <c r="U21" s="2" t="inlineStr">
        <is>
          <t>B</t>
        </is>
      </c>
      <c r="V21" s="4" t="inlineStr">
        <is>
          <t>CORRECTO</t>
        </is>
      </c>
      <c r="W21" s="2" t="inlineStr">
        <is>
          <t>C</t>
        </is>
      </c>
      <c r="X21" s="4" t="inlineStr">
        <is>
          <t>CORRECTO</t>
        </is>
      </c>
      <c r="Y21" s="2" t="inlineStr">
        <is>
          <t>C</t>
        </is>
      </c>
      <c r="Z21" s="4" t="inlineStr">
        <is>
          <t>CORRECTO</t>
        </is>
      </c>
      <c r="AA21" s="2" t="inlineStr">
        <is>
          <t>A</t>
        </is>
      </c>
      <c r="AB21" s="3" t="inlineStr">
        <is>
          <t>INCORRECTO</t>
        </is>
      </c>
      <c r="AC21" s="2" t="inlineStr">
        <is>
          <t>C</t>
        </is>
      </c>
      <c r="AD21" s="4" t="inlineStr">
        <is>
          <t>CORRECTO</t>
        </is>
      </c>
      <c r="AE21" s="2" t="inlineStr">
        <is>
          <t>B</t>
        </is>
      </c>
      <c r="AF21" s="4" t="inlineStr">
        <is>
          <t>CORRECTO</t>
        </is>
      </c>
      <c r="AG21" s="2" t="inlineStr">
        <is>
          <t>B</t>
        </is>
      </c>
      <c r="AH21" s="4" t="inlineStr">
        <is>
          <t>CORRECTO</t>
        </is>
      </c>
      <c r="AI21" s="2" t="inlineStr">
        <is>
          <t>C</t>
        </is>
      </c>
      <c r="AJ21" s="4" t="inlineStr">
        <is>
          <t>CORRECTO</t>
        </is>
      </c>
      <c r="AK21" s="2" t="inlineStr">
        <is>
          <t>B</t>
        </is>
      </c>
      <c r="AL21" s="4" t="inlineStr">
        <is>
          <t>CORRECTO</t>
        </is>
      </c>
      <c r="AM21" s="2" t="inlineStr">
        <is>
          <t>C</t>
        </is>
      </c>
      <c r="AN21" s="4" t="inlineStr">
        <is>
          <t>CORRECTO</t>
        </is>
      </c>
      <c r="AO21" s="2" t="inlineStr">
        <is>
          <t>A</t>
        </is>
      </c>
      <c r="AP21" s="4" t="inlineStr">
        <is>
          <t>CORRECTO</t>
        </is>
      </c>
      <c r="AQ21" s="2" t="inlineStr">
        <is>
          <t>C</t>
        </is>
      </c>
      <c r="AR21" s="4" t="inlineStr">
        <is>
          <t>CORRECTO</t>
        </is>
      </c>
      <c r="AS21" s="2" t="inlineStr">
        <is>
          <t>C</t>
        </is>
      </c>
      <c r="AT21" s="3" t="inlineStr">
        <is>
          <t>INCORRECTO</t>
        </is>
      </c>
      <c r="AU21" s="2" t="inlineStr">
        <is>
          <t>D</t>
        </is>
      </c>
      <c r="AV21" s="3" t="inlineStr">
        <is>
          <t>INCORRECTO</t>
        </is>
      </c>
      <c r="AW21" s="5">
        <f>COUNTIF(J21:AV21,"CORRECTO")</f>
        <v/>
      </c>
      <c r="AX21" s="5">
        <f>COUNTIF(J21:AV21,"INCORRECTO")</f>
        <v/>
      </c>
      <c r="AY21" s="5" t="n">
        <v>20</v>
      </c>
      <c r="AZ21" s="6">
        <f>AW21/AY21</f>
        <v/>
      </c>
    </row>
    <row r="22">
      <c r="A22" s="2" t="inlineStr">
        <is>
          <t>TRATADO</t>
        </is>
      </c>
      <c r="B22" s="2" t="inlineStr">
        <is>
          <t>111001800392</t>
        </is>
      </c>
      <c r="C22" s="2" t="inlineStr">
        <is>
          <t>COLEGIO SOLEDAD ACOSTA DE SAMPER (IED) - SEDE PRINCIPAL</t>
        </is>
      </c>
      <c r="D22" s="2" t="inlineStr">
        <is>
          <t>JOSEPH ALEJANDRO GONZALEZ MARTINEZ</t>
        </is>
      </c>
      <c r="E22" s="2" t="inlineStr">
        <is>
          <t>1025075979</t>
        </is>
      </c>
      <c r="F22" s="2" t="n">
        <v>5</v>
      </c>
      <c r="G22" s="2" t="n">
        <v>501</v>
      </c>
      <c r="H22" s="2" t="inlineStr">
        <is>
          <t>LENGUAJE</t>
        </is>
      </c>
      <c r="I22" s="2" t="inlineStr">
        <is>
          <t>C</t>
        </is>
      </c>
      <c r="J22" s="4" t="inlineStr">
        <is>
          <t>CORRECTO</t>
        </is>
      </c>
      <c r="K22" s="2" t="inlineStr">
        <is>
          <t>C</t>
        </is>
      </c>
      <c r="L22" s="4" t="inlineStr">
        <is>
          <t>CORRECTO</t>
        </is>
      </c>
      <c r="M22" s="2" t="inlineStr">
        <is>
          <t>B</t>
        </is>
      </c>
      <c r="N22" s="4" t="inlineStr">
        <is>
          <t>CORRECTO</t>
        </is>
      </c>
      <c r="O22" s="2" t="inlineStr">
        <is>
          <t>C</t>
        </is>
      </c>
      <c r="P22" s="4" t="inlineStr">
        <is>
          <t>CORRECTO</t>
        </is>
      </c>
      <c r="Q22" s="2" t="inlineStr">
        <is>
          <t>C</t>
        </is>
      </c>
      <c r="R22" s="4" t="inlineStr">
        <is>
          <t>CORRECTO</t>
        </is>
      </c>
      <c r="S22" s="2" t="inlineStr">
        <is>
          <t>A</t>
        </is>
      </c>
      <c r="T22" s="4" t="inlineStr">
        <is>
          <t>CORRECTO</t>
        </is>
      </c>
      <c r="U22" s="2" t="inlineStr">
        <is>
          <t>C</t>
        </is>
      </c>
      <c r="V22" s="3" t="inlineStr">
        <is>
          <t>INCORRECTO</t>
        </is>
      </c>
      <c r="W22" s="2" t="inlineStr">
        <is>
          <t>B</t>
        </is>
      </c>
      <c r="X22" s="3" t="inlineStr">
        <is>
          <t>INCORRECTO</t>
        </is>
      </c>
      <c r="Y22" s="2" t="inlineStr">
        <is>
          <t>C</t>
        </is>
      </c>
      <c r="Z22" s="4" t="inlineStr">
        <is>
          <t>CORRECTO</t>
        </is>
      </c>
      <c r="AA22" s="2" t="inlineStr">
        <is>
          <t>C</t>
        </is>
      </c>
      <c r="AB22" s="3" t="inlineStr">
        <is>
          <t>INCORRECTO</t>
        </is>
      </c>
      <c r="AC22" s="2" t="inlineStr">
        <is>
          <t>B</t>
        </is>
      </c>
      <c r="AD22" s="3" t="inlineStr">
        <is>
          <t>INCORRECTO</t>
        </is>
      </c>
      <c r="AE22" s="2" t="inlineStr">
        <is>
          <t>B</t>
        </is>
      </c>
      <c r="AF22" s="4" t="inlineStr">
        <is>
          <t>CORRECTO</t>
        </is>
      </c>
      <c r="AG22" s="2" t="inlineStr">
        <is>
          <t>B</t>
        </is>
      </c>
      <c r="AH22" s="4" t="inlineStr">
        <is>
          <t>CORRECTO</t>
        </is>
      </c>
      <c r="AI22" s="2" t="inlineStr">
        <is>
          <t>B</t>
        </is>
      </c>
      <c r="AJ22" s="3" t="inlineStr">
        <is>
          <t>INCORRECTO</t>
        </is>
      </c>
      <c r="AK22" s="2" t="inlineStr">
        <is>
          <t>B</t>
        </is>
      </c>
      <c r="AL22" s="4" t="inlineStr">
        <is>
          <t>CORRECTO</t>
        </is>
      </c>
      <c r="AM22" s="2" t="inlineStr">
        <is>
          <t>A</t>
        </is>
      </c>
      <c r="AN22" s="3" t="inlineStr">
        <is>
          <t>INCORRECTO</t>
        </is>
      </c>
      <c r="AO22" s="2" t="inlineStr">
        <is>
          <t>A</t>
        </is>
      </c>
      <c r="AP22" s="4" t="inlineStr">
        <is>
          <t>CORRECTO</t>
        </is>
      </c>
      <c r="AQ22" s="2" t="inlineStr">
        <is>
          <t>C</t>
        </is>
      </c>
      <c r="AR22" s="4" t="inlineStr">
        <is>
          <t>CORRECTO</t>
        </is>
      </c>
      <c r="AS22" s="2" t="inlineStr">
        <is>
          <t>C</t>
        </is>
      </c>
      <c r="AT22" s="3" t="inlineStr">
        <is>
          <t>INCORRECTO</t>
        </is>
      </c>
      <c r="AU22" s="2" t="inlineStr">
        <is>
          <t>B</t>
        </is>
      </c>
      <c r="AV22" s="3" t="inlineStr">
        <is>
          <t>INCORRECTO</t>
        </is>
      </c>
      <c r="AW22" s="5">
        <f>COUNTIF(J22:AV22,"CORRECTO")</f>
        <v/>
      </c>
      <c r="AX22" s="5">
        <f>COUNTIF(J22:AV22,"INCORRECTO")</f>
        <v/>
      </c>
      <c r="AY22" s="5" t="n">
        <v>20</v>
      </c>
      <c r="AZ22" s="6">
        <f>AW22/AY22</f>
        <v/>
      </c>
    </row>
    <row r="23">
      <c r="A23" s="2" t="inlineStr">
        <is>
          <t>TRATADO</t>
        </is>
      </c>
      <c r="B23" s="2" t="inlineStr">
        <is>
          <t>111001800392</t>
        </is>
      </c>
      <c r="C23" s="2" t="inlineStr">
        <is>
          <t>COLEGIO SOLEDAD ACOSTA DE SAMPER (IED) - SEDE PRINCIPAL</t>
        </is>
      </c>
      <c r="D23" s="2" t="inlineStr">
        <is>
          <t>JUAN FELIPE PEDROZO AREVALO</t>
        </is>
      </c>
      <c r="E23" s="2" t="inlineStr">
        <is>
          <t>1222209808</t>
        </is>
      </c>
      <c r="F23" s="2" t="n">
        <v>5</v>
      </c>
      <c r="G23" s="2" t="n">
        <v>501</v>
      </c>
      <c r="H23" s="2" t="inlineStr">
        <is>
          <t>LENGUAJE</t>
        </is>
      </c>
      <c r="I23" s="2" t="inlineStr">
        <is>
          <t>C</t>
        </is>
      </c>
      <c r="J23" s="4" t="inlineStr">
        <is>
          <t>CORRECTO</t>
        </is>
      </c>
      <c r="K23" s="2" t="inlineStr">
        <is>
          <t>C</t>
        </is>
      </c>
      <c r="L23" s="4" t="inlineStr">
        <is>
          <t>CORRECTO</t>
        </is>
      </c>
      <c r="M23" s="2" t="inlineStr">
        <is>
          <t>B</t>
        </is>
      </c>
      <c r="N23" s="4" t="inlineStr">
        <is>
          <t>CORRECTO</t>
        </is>
      </c>
      <c r="O23" s="2" t="inlineStr">
        <is>
          <t>C</t>
        </is>
      </c>
      <c r="P23" s="4" t="inlineStr">
        <is>
          <t>CORRECTO</t>
        </is>
      </c>
      <c r="Q23" s="2" t="inlineStr">
        <is>
          <t>C</t>
        </is>
      </c>
      <c r="R23" s="4" t="inlineStr">
        <is>
          <t>CORRECTO</t>
        </is>
      </c>
      <c r="S23" s="2" t="inlineStr">
        <is>
          <t>A</t>
        </is>
      </c>
      <c r="T23" s="4" t="inlineStr">
        <is>
          <t>CORRECTO</t>
        </is>
      </c>
      <c r="U23" s="2" t="inlineStr">
        <is>
          <t>B</t>
        </is>
      </c>
      <c r="V23" s="4" t="inlineStr">
        <is>
          <t>CORRECTO</t>
        </is>
      </c>
      <c r="W23" s="2" t="inlineStr">
        <is>
          <t>C</t>
        </is>
      </c>
      <c r="X23" s="4" t="inlineStr">
        <is>
          <t>CORRECTO</t>
        </is>
      </c>
      <c r="Y23" s="2" t="inlineStr">
        <is>
          <t>C</t>
        </is>
      </c>
      <c r="Z23" s="4" t="inlineStr">
        <is>
          <t>CORRECTO</t>
        </is>
      </c>
      <c r="AA23" s="2" t="inlineStr">
        <is>
          <t>C</t>
        </is>
      </c>
      <c r="AB23" s="3" t="inlineStr">
        <is>
          <t>INCORRECTO</t>
        </is>
      </c>
      <c r="AC23" s="2" t="inlineStr">
        <is>
          <t>C</t>
        </is>
      </c>
      <c r="AD23" s="4" t="inlineStr">
        <is>
          <t>CORRECTO</t>
        </is>
      </c>
      <c r="AE23" s="2" t="inlineStr">
        <is>
          <t>B</t>
        </is>
      </c>
      <c r="AF23" s="4" t="inlineStr">
        <is>
          <t>CORRECTO</t>
        </is>
      </c>
      <c r="AG23" s="2" t="inlineStr">
        <is>
          <t>B</t>
        </is>
      </c>
      <c r="AH23" s="4" t="inlineStr">
        <is>
          <t>CORRECTO</t>
        </is>
      </c>
      <c r="AI23" s="2" t="inlineStr">
        <is>
          <t>C</t>
        </is>
      </c>
      <c r="AJ23" s="4" t="inlineStr">
        <is>
          <t>CORRECTO</t>
        </is>
      </c>
      <c r="AK23" s="2" t="inlineStr">
        <is>
          <t>B</t>
        </is>
      </c>
      <c r="AL23" s="4" t="inlineStr">
        <is>
          <t>CORRECTO</t>
        </is>
      </c>
      <c r="AM23" s="2" t="inlineStr">
        <is>
          <t>B</t>
        </is>
      </c>
      <c r="AN23" s="3" t="inlineStr">
        <is>
          <t>INCORRECTO</t>
        </is>
      </c>
      <c r="AO23" s="2" t="inlineStr">
        <is>
          <t>A</t>
        </is>
      </c>
      <c r="AP23" s="4" t="inlineStr">
        <is>
          <t>CORRECTO</t>
        </is>
      </c>
      <c r="AQ23" s="2" t="inlineStr">
        <is>
          <t>A</t>
        </is>
      </c>
      <c r="AR23" s="3" t="inlineStr">
        <is>
          <t>INCORRECTO</t>
        </is>
      </c>
      <c r="AS23" s="2" t="inlineStr">
        <is>
          <t>A</t>
        </is>
      </c>
      <c r="AT23" s="3" t="inlineStr">
        <is>
          <t>INCORRECTO</t>
        </is>
      </c>
      <c r="AU23" s="2" t="inlineStr">
        <is>
          <t>A</t>
        </is>
      </c>
      <c r="AV23" s="3" t="inlineStr">
        <is>
          <t>INCORRECTO</t>
        </is>
      </c>
      <c r="AW23" s="5">
        <f>COUNTIF(J23:AV23,"CORRECTO")</f>
        <v/>
      </c>
      <c r="AX23" s="5">
        <f>COUNTIF(J23:AV23,"INCORRECTO")</f>
        <v/>
      </c>
      <c r="AY23" s="5" t="n">
        <v>20</v>
      </c>
      <c r="AZ23" s="6">
        <f>AW23/AY23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2026-06-17T01:38:31Z</dcterms:created>
  <dcterms:modified xmlns:dcterms="http://purl.org/dc/terms/" xmlns:xsi="http://www.w3.org/2001/XMLSchema-instance" xsi:type="dcterms:W3CDTF">2026-06-17T01:38:32Z</dcterms:modified>
</cp:coreProperties>
</file>