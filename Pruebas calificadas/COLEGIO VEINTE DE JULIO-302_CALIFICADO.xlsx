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2" customWidth="1" min="39" max="39"/>
    <col width="12" customWidth="1" min="40" max="40"/>
    <col width="12" customWidth="1" min="41" max="41"/>
    <col width="18" customWidth="1" min="42" max="4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CORRECTAS</t>
        </is>
      </c>
      <c r="AN1" s="1" t="inlineStr">
        <is>
          <t>INCORRECTAS</t>
        </is>
      </c>
      <c r="AO1" s="1" t="inlineStr">
        <is>
          <t>TOTAL_EVAL</t>
        </is>
      </c>
      <c r="AP1" s="1" t="inlineStr">
        <is>
          <t>PORCENTAJE ACIERTO</t>
        </is>
      </c>
    </row>
    <row r="2">
      <c r="A2" s="2" t="inlineStr"/>
      <c r="B2" s="2" t="inlineStr">
        <is>
          <t>111001012033</t>
        </is>
      </c>
      <c r="C2" s="2" t="inlineStr">
        <is>
          <t>COLEGIO VEINTE DE JULIO (IED)</t>
        </is>
      </c>
      <c r="D2" s="2" t="inlineStr">
        <is>
          <t>DAMIAN MAURICIO PARRA FINO</t>
        </is>
      </c>
      <c r="E2" s="2" t="inlineStr">
        <is>
          <t>1146142262</t>
        </is>
      </c>
      <c r="F2" s="2" t="n">
        <v>3</v>
      </c>
      <c r="G2" s="2" t="n">
        <v>302</v>
      </c>
      <c r="H2" s="2" t="inlineStr">
        <is>
          <t>MATEMÁTICAS</t>
        </is>
      </c>
      <c r="I2" s="2" t="inlineStr">
        <is>
          <t>D</t>
        </is>
      </c>
      <c r="J2" s="3" t="inlineStr">
        <is>
          <t>CORRECTO</t>
        </is>
      </c>
      <c r="K2" s="2" t="inlineStr">
        <is>
          <t>C</t>
        </is>
      </c>
      <c r="L2" s="4" t="inlineStr">
        <is>
          <t>INCORRECTO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C</t>
        </is>
      </c>
      <c r="R2" s="4" t="inlineStr">
        <is>
          <t>INCORRECTO</t>
        </is>
      </c>
      <c r="S2" s="2" t="inlineStr">
        <is>
          <t>B</t>
        </is>
      </c>
      <c r="T2" s="4" t="inlineStr">
        <is>
          <t>INCORRECTO</t>
        </is>
      </c>
      <c r="U2" s="2" t="inlineStr">
        <is>
          <t>A</t>
        </is>
      </c>
      <c r="V2" s="4" t="inlineStr">
        <is>
          <t>INCORRECTO</t>
        </is>
      </c>
      <c r="W2" s="2" t="inlineStr">
        <is>
          <t>D</t>
        </is>
      </c>
      <c r="X2" s="3" t="inlineStr">
        <is>
          <t>CORRECTO</t>
        </is>
      </c>
      <c r="Y2" s="2" t="inlineStr">
        <is>
          <t>A</t>
        </is>
      </c>
      <c r="Z2" s="4" t="inlineStr">
        <is>
          <t>INCORRECTO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C</t>
        </is>
      </c>
      <c r="AD2" s="4" t="inlineStr">
        <is>
          <t>INCORRECTO</t>
        </is>
      </c>
      <c r="AE2" s="2" t="inlineStr">
        <is>
          <t>D</t>
        </is>
      </c>
      <c r="AF2" s="3" t="inlineStr">
        <is>
          <t>CORRECTO</t>
        </is>
      </c>
      <c r="AG2" s="2" t="inlineStr">
        <is>
          <t>B</t>
        </is>
      </c>
      <c r="AH2" s="4" t="inlineStr">
        <is>
          <t>INCORRECTO</t>
        </is>
      </c>
      <c r="AI2" s="2" t="inlineStr">
        <is>
          <t>D</t>
        </is>
      </c>
      <c r="AJ2" s="3" t="inlineStr">
        <is>
          <t>CORRECTO</t>
        </is>
      </c>
      <c r="AK2" s="2" t="inlineStr">
        <is>
          <t>C</t>
        </is>
      </c>
      <c r="AL2" s="4" t="inlineStr">
        <is>
          <t>INCORRECTO</t>
        </is>
      </c>
      <c r="AM2" s="5">
        <f>COUNTIF(J2:AL2,"CORRECTO")</f>
        <v/>
      </c>
      <c r="AN2" s="5">
        <f>COUNTIF(J2:AL2,"INCORRECTO")</f>
        <v/>
      </c>
      <c r="AO2" s="5" t="n">
        <v>15</v>
      </c>
      <c r="AP2" s="6">
        <f>AM2/AO2</f>
        <v/>
      </c>
    </row>
    <row r="3">
      <c r="A3" s="2" t="inlineStr"/>
      <c r="B3" s="2" t="inlineStr">
        <is>
          <t>111001012033</t>
        </is>
      </c>
      <c r="C3" s="2" t="inlineStr">
        <is>
          <t>COLEGIO VEINTE DE JULIO (IED)</t>
        </is>
      </c>
      <c r="D3" s="2" t="inlineStr">
        <is>
          <t>DAMIAN MAURICIO PARRA FINO</t>
        </is>
      </c>
      <c r="E3" s="2" t="inlineStr">
        <is>
          <t>1146142262</t>
        </is>
      </c>
      <c r="F3" s="2" t="n">
        <v>3</v>
      </c>
      <c r="G3" s="2" t="n">
        <v>302</v>
      </c>
      <c r="H3" s="2" t="inlineStr">
        <is>
          <t>LENGUAJE</t>
        </is>
      </c>
      <c r="I3" s="2" t="inlineStr">
        <is>
          <t>D</t>
        </is>
      </c>
      <c r="J3" s="4" t="inlineStr">
        <is>
          <t>INCORRECTO</t>
        </is>
      </c>
      <c r="K3" s="2" t="inlineStr">
        <is>
          <t>D</t>
        </is>
      </c>
      <c r="L3" s="4" t="inlineStr">
        <is>
          <t>INCORRECTO</t>
        </is>
      </c>
      <c r="M3" s="2" t="inlineStr">
        <is>
          <t>D</t>
        </is>
      </c>
      <c r="N3" s="4" t="inlineStr">
        <is>
          <t>INCORRECTO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D</t>
        </is>
      </c>
      <c r="R3" s="4" t="inlineStr">
        <is>
          <t>INCORRECTO</t>
        </is>
      </c>
      <c r="S3" s="2" t="inlineStr">
        <is>
          <t>C</t>
        </is>
      </c>
      <c r="T3" s="4" t="inlineStr">
        <is>
          <t>INCORRECTO</t>
        </is>
      </c>
      <c r="U3" s="2" t="inlineStr">
        <is>
          <t>B</t>
        </is>
      </c>
      <c r="V3" s="4" t="inlineStr">
        <is>
          <t>INCORRECTO</t>
        </is>
      </c>
      <c r="W3" s="2" t="inlineStr">
        <is>
          <t>C</t>
        </is>
      </c>
      <c r="X3" s="3" t="inlineStr">
        <is>
          <t>CORRECTO</t>
        </is>
      </c>
      <c r="Y3" s="2" t="inlineStr">
        <is>
          <t>C</t>
        </is>
      </c>
      <c r="Z3" s="4" t="inlineStr">
        <is>
          <t>INCORRECTO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C</t>
        </is>
      </c>
      <c r="AD3" s="3" t="inlineStr">
        <is>
          <t>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C</t>
        </is>
      </c>
      <c r="AH3" s="4" t="inlineStr">
        <is>
          <t>INCORRECTO</t>
        </is>
      </c>
      <c r="AI3" s="2" t="inlineStr">
        <is>
          <t>D</t>
        </is>
      </c>
      <c r="AJ3" s="4" t="inlineStr">
        <is>
          <t>INCORRECTO</t>
        </is>
      </c>
      <c r="AK3" s="2" t="inlineStr">
        <is>
          <t>B</t>
        </is>
      </c>
      <c r="AL3" s="4" t="inlineStr">
        <is>
          <t>INCORRECTO</t>
        </is>
      </c>
      <c r="AM3" s="5">
        <f>COUNTIF(J3:AL3,"CORRECTO")</f>
        <v/>
      </c>
      <c r="AN3" s="5">
        <f>COUNTIF(J3:AL3,"INCORRECTO")</f>
        <v/>
      </c>
      <c r="AO3" s="5" t="n">
        <v>15</v>
      </c>
      <c r="AP3" s="6">
        <f>AM3/AO3</f>
        <v/>
      </c>
    </row>
    <row r="4">
      <c r="A4" s="2" t="inlineStr"/>
      <c r="B4" s="2" t="inlineStr">
        <is>
          <t>111001012033</t>
        </is>
      </c>
      <c r="C4" s="2" t="inlineStr">
        <is>
          <t>COLEGIO VEINTE DE JULIO (IED)</t>
        </is>
      </c>
      <c r="D4" s="2" t="inlineStr">
        <is>
          <t>MARYORI IZABELA RODRIGUEZ PARRA</t>
        </is>
      </c>
      <c r="E4" s="2" t="inlineStr">
        <is>
          <t>5208824</t>
        </is>
      </c>
      <c r="F4" s="2" t="n">
        <v>3</v>
      </c>
      <c r="G4" s="2" t="n">
        <v>302</v>
      </c>
      <c r="H4" s="2" t="inlineStr">
        <is>
          <t>MATEMÁTICAS</t>
        </is>
      </c>
      <c r="I4" s="2" t="inlineStr">
        <is>
          <t>D</t>
        </is>
      </c>
      <c r="J4" s="3" t="inlineStr">
        <is>
          <t>CORRECTO</t>
        </is>
      </c>
      <c r="K4" s="2" t="inlineStr">
        <is>
          <t>C</t>
        </is>
      </c>
      <c r="L4" s="4" t="inlineStr">
        <is>
          <t>INCORRECTO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D</t>
        </is>
      </c>
      <c r="R4" s="4" t="inlineStr">
        <is>
          <t>INCORRECTO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A</t>
        </is>
      </c>
      <c r="V4" s="4" t="inlineStr">
        <is>
          <t>INCORRECTO</t>
        </is>
      </c>
      <c r="W4" s="2" t="inlineStr">
        <is>
          <t>C</t>
        </is>
      </c>
      <c r="X4" s="4" t="inlineStr">
        <is>
          <t>INCORRECTO</t>
        </is>
      </c>
      <c r="Y4" s="2" t="inlineStr">
        <is>
          <t>A</t>
        </is>
      </c>
      <c r="Z4" s="4" t="inlineStr">
        <is>
          <t>INCORRECTO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C</t>
        </is>
      </c>
      <c r="AD4" s="4" t="inlineStr">
        <is>
          <t>INCORRECTO</t>
        </is>
      </c>
      <c r="AE4" s="2" t="inlineStr">
        <is>
          <t>D</t>
        </is>
      </c>
      <c r="AF4" s="3" t="inlineStr">
        <is>
          <t>CORRECTO</t>
        </is>
      </c>
      <c r="AG4" s="2" t="inlineStr">
        <is>
          <t>A</t>
        </is>
      </c>
      <c r="AH4" s="4" t="inlineStr">
        <is>
          <t>INCORRECTO</t>
        </is>
      </c>
      <c r="AI4" s="2" t="inlineStr">
        <is>
          <t>C</t>
        </is>
      </c>
      <c r="AJ4" s="4" t="inlineStr">
        <is>
          <t>INCORRECTO</t>
        </is>
      </c>
      <c r="AK4" s="2" t="inlineStr">
        <is>
          <t>C</t>
        </is>
      </c>
      <c r="AL4" s="4" t="inlineStr">
        <is>
          <t>INCORRECTO</t>
        </is>
      </c>
      <c r="AM4" s="5">
        <f>COUNTIF(J4:AL4,"CORRECTO")</f>
        <v/>
      </c>
      <c r="AN4" s="5">
        <f>COUNTIF(J4:AL4,"INCORRECTO")</f>
        <v/>
      </c>
      <c r="AO4" s="5" t="n">
        <v>15</v>
      </c>
      <c r="AP4" s="6">
        <f>AM4/AO4</f>
        <v/>
      </c>
    </row>
    <row r="5">
      <c r="A5" s="2" t="inlineStr"/>
      <c r="B5" s="2" t="inlineStr">
        <is>
          <t>111001012033</t>
        </is>
      </c>
      <c r="C5" s="2" t="inlineStr">
        <is>
          <t>COLEGIO VEINTE DE JULIO (IED)</t>
        </is>
      </c>
      <c r="D5" s="2" t="inlineStr">
        <is>
          <t>MARYORI IZABELA RODRIGUEZ PARRA</t>
        </is>
      </c>
      <c r="E5" s="2" t="inlineStr">
        <is>
          <t>5208824</t>
        </is>
      </c>
      <c r="F5" s="2" t="n">
        <v>3</v>
      </c>
      <c r="G5" s="2" t="n">
        <v>302</v>
      </c>
      <c r="H5" s="2" t="inlineStr">
        <is>
          <t>LENGUAJE</t>
        </is>
      </c>
      <c r="I5" s="2" t="inlineStr">
        <is>
          <t>D</t>
        </is>
      </c>
      <c r="J5" s="4" t="inlineStr">
        <is>
          <t>INCORRECTO</t>
        </is>
      </c>
      <c r="K5" s="2" t="inlineStr">
        <is>
          <t>D</t>
        </is>
      </c>
      <c r="L5" s="4" t="inlineStr">
        <is>
          <t>INCORRECTO</t>
        </is>
      </c>
      <c r="M5" s="2" t="inlineStr">
        <is>
          <t>C</t>
        </is>
      </c>
      <c r="N5" s="4" t="inlineStr">
        <is>
          <t>INCORRECTO</t>
        </is>
      </c>
      <c r="O5" s="2" t="inlineStr">
        <is>
          <t>D</t>
        </is>
      </c>
      <c r="P5" s="4" t="inlineStr">
        <is>
          <t>INCORRECTO</t>
        </is>
      </c>
      <c r="Q5" s="2" t="inlineStr">
        <is>
          <t>B</t>
        </is>
      </c>
      <c r="R5" s="4" t="inlineStr">
        <is>
          <t>INCORRECTO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B</t>
        </is>
      </c>
      <c r="V5" s="4" t="inlineStr">
        <is>
          <t>INCORRECTO</t>
        </is>
      </c>
      <c r="W5" s="2" t="inlineStr">
        <is>
          <t>C</t>
        </is>
      </c>
      <c r="X5" s="3" t="inlineStr">
        <is>
          <t>CORRECTO</t>
        </is>
      </c>
      <c r="Y5" s="2" t="inlineStr">
        <is>
          <t>D</t>
        </is>
      </c>
      <c r="Z5" s="4" t="inlineStr">
        <is>
          <t>INCORRECTO</t>
        </is>
      </c>
      <c r="AA5" s="2" t="inlineStr">
        <is>
          <t>A</t>
        </is>
      </c>
      <c r="AB5" s="4" t="inlineStr">
        <is>
          <t>INCORRECTO</t>
        </is>
      </c>
      <c r="AC5" s="2" t="inlineStr">
        <is>
          <t>A</t>
        </is>
      </c>
      <c r="AD5" s="4" t="inlineStr">
        <is>
          <t>INCORRECTO</t>
        </is>
      </c>
      <c r="AE5" s="2" t="inlineStr">
        <is>
          <t>D</t>
        </is>
      </c>
      <c r="AF5" s="4" t="inlineStr">
        <is>
          <t>INCORRECTO</t>
        </is>
      </c>
      <c r="AG5" s="2" t="inlineStr">
        <is>
          <t>B</t>
        </is>
      </c>
      <c r="AH5" s="4" t="inlineStr">
        <is>
          <t>INCORRECTO</t>
        </is>
      </c>
      <c r="AI5" s="2" t="inlineStr">
        <is>
          <t>C</t>
        </is>
      </c>
      <c r="AJ5" s="4" t="inlineStr">
        <is>
          <t>INCORRECTO</t>
        </is>
      </c>
      <c r="AK5" s="2" t="inlineStr">
        <is>
          <t>B</t>
        </is>
      </c>
      <c r="AL5" s="4" t="inlineStr">
        <is>
          <t>INCORRECTO</t>
        </is>
      </c>
      <c r="AM5" s="5">
        <f>COUNTIF(J5:AL5,"CORRECTO")</f>
        <v/>
      </c>
      <c r="AN5" s="5">
        <f>COUNTIF(J5:AL5,"INCORRECTO")</f>
        <v/>
      </c>
      <c r="AO5" s="5" t="n">
        <v>15</v>
      </c>
      <c r="AP5" s="6">
        <f>AM5/AO5</f>
        <v/>
      </c>
    </row>
    <row r="6">
      <c r="A6" s="2" t="inlineStr"/>
      <c r="B6" s="2" t="inlineStr">
        <is>
          <t>111001012033</t>
        </is>
      </c>
      <c r="C6" s="2" t="inlineStr">
        <is>
          <t>COLEGIO VEINTE DE JULIO (IED)</t>
        </is>
      </c>
      <c r="D6" s="2" t="inlineStr">
        <is>
          <t>SARA SCARLETT CASTAÑO FORERO</t>
        </is>
      </c>
      <c r="E6" s="2" t="inlineStr">
        <is>
          <t>1016744002</t>
        </is>
      </c>
      <c r="F6" s="2" t="n">
        <v>3</v>
      </c>
      <c r="G6" s="2" t="n">
        <v>302</v>
      </c>
      <c r="H6" s="2" t="inlineStr">
        <is>
          <t>MATEMÁTICAS</t>
        </is>
      </c>
      <c r="I6" s="2" t="inlineStr">
        <is>
          <t>D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A</t>
        </is>
      </c>
      <c r="V6" s="4" t="inlineStr">
        <is>
          <t>INCORRECTO</t>
        </is>
      </c>
      <c r="W6" s="2" t="inlineStr">
        <is>
          <t>C</t>
        </is>
      </c>
      <c r="X6" s="4" t="inlineStr">
        <is>
          <t>INCORRECTO</t>
        </is>
      </c>
      <c r="Y6" s="2" t="inlineStr">
        <is>
          <t>D</t>
        </is>
      </c>
      <c r="Z6" s="4" t="inlineStr">
        <is>
          <t>INCORRECTO</t>
        </is>
      </c>
      <c r="AA6" s="2" t="inlineStr">
        <is>
          <t>B</t>
        </is>
      </c>
      <c r="AB6" s="4" t="inlineStr">
        <is>
          <t>INCORRECTO</t>
        </is>
      </c>
      <c r="AC6" s="2" t="inlineStr">
        <is>
          <t>D</t>
        </is>
      </c>
      <c r="AD6" s="3" t="inlineStr">
        <is>
          <t>CORRECTO</t>
        </is>
      </c>
      <c r="AE6" s="2" t="inlineStr">
        <is>
          <t>D</t>
        </is>
      </c>
      <c r="AF6" s="3" t="inlineStr">
        <is>
          <t>CORRECTO</t>
        </is>
      </c>
      <c r="AG6" s="2" t="inlineStr">
        <is>
          <t>B</t>
        </is>
      </c>
      <c r="AH6" s="4" t="inlineStr">
        <is>
          <t>INCORRECTO</t>
        </is>
      </c>
      <c r="AI6" s="2" t="inlineStr">
        <is>
          <t>A</t>
        </is>
      </c>
      <c r="AJ6" s="4" t="inlineStr">
        <is>
          <t>INCORRECTO</t>
        </is>
      </c>
      <c r="AK6" s="2" t="inlineStr">
        <is>
          <t>C</t>
        </is>
      </c>
      <c r="AL6" s="4" t="inlineStr">
        <is>
          <t>INCORRECTO</t>
        </is>
      </c>
      <c r="AM6" s="5">
        <f>COUNTIF(J6:AL6,"CORRECTO")</f>
        <v/>
      </c>
      <c r="AN6" s="5">
        <f>COUNTIF(J6:AL6,"INCORRECTO")</f>
        <v/>
      </c>
      <c r="AO6" s="5" t="n">
        <v>15</v>
      </c>
      <c r="AP6" s="6">
        <f>AM6/AO6</f>
        <v/>
      </c>
    </row>
    <row r="7">
      <c r="A7" s="2" t="inlineStr"/>
      <c r="B7" s="2" t="inlineStr">
        <is>
          <t>111001012033</t>
        </is>
      </c>
      <c r="C7" s="2" t="inlineStr">
        <is>
          <t>COLEGIO VEINTE DE JULIO (IED)</t>
        </is>
      </c>
      <c r="D7" s="2" t="inlineStr">
        <is>
          <t>SARA SCARLETT CASTAÑO FORERO</t>
        </is>
      </c>
      <c r="E7" s="2" t="inlineStr">
        <is>
          <t>1016744002</t>
        </is>
      </c>
      <c r="F7" s="2" t="n">
        <v>3</v>
      </c>
      <c r="G7" s="2" t="n">
        <v>302</v>
      </c>
      <c r="H7" s="2" t="inlineStr">
        <is>
          <t>LENGUAJE</t>
        </is>
      </c>
      <c r="I7" s="2" t="inlineStr">
        <is>
          <t>C</t>
        </is>
      </c>
      <c r="J7" s="4" t="inlineStr">
        <is>
          <t>INCORRECTO</t>
        </is>
      </c>
      <c r="K7" s="2" t="inlineStr">
        <is>
          <t>D</t>
        </is>
      </c>
      <c r="L7" s="4" t="inlineStr">
        <is>
          <t>INCORRECTO</t>
        </is>
      </c>
      <c r="M7" s="2" t="inlineStr">
        <is>
          <t>D</t>
        </is>
      </c>
      <c r="N7" s="4" t="inlineStr">
        <is>
          <t>INCORRECTO</t>
        </is>
      </c>
      <c r="O7" s="2" t="inlineStr">
        <is>
          <t>A</t>
        </is>
      </c>
      <c r="P7" s="4" t="inlineStr">
        <is>
          <t>INCORRECTO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C</t>
        </is>
      </c>
      <c r="T7" s="4" t="inlineStr">
        <is>
          <t>INCORRECTO</t>
        </is>
      </c>
      <c r="U7" s="2" t="inlineStr">
        <is>
          <t>B</t>
        </is>
      </c>
      <c r="V7" s="4" t="inlineStr">
        <is>
          <t>INCORRECTO</t>
        </is>
      </c>
      <c r="W7" s="2" t="inlineStr">
        <is>
          <t>C</t>
        </is>
      </c>
      <c r="X7" s="3" t="inlineStr">
        <is>
          <t>CORRECTO</t>
        </is>
      </c>
      <c r="Y7" s="2" t="inlineStr">
        <is>
          <t>C</t>
        </is>
      </c>
      <c r="Z7" s="4" t="inlineStr">
        <is>
          <t>INCORRECTO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C</t>
        </is>
      </c>
      <c r="AD7" s="3" t="inlineStr">
        <is>
          <t>CORRECTO</t>
        </is>
      </c>
      <c r="AE7" s="2" t="inlineStr">
        <is>
          <t>B</t>
        </is>
      </c>
      <c r="AF7" s="3" t="inlineStr">
        <is>
          <t>CORRECTO</t>
        </is>
      </c>
      <c r="AG7" s="2" t="inlineStr">
        <is>
          <t>C</t>
        </is>
      </c>
      <c r="AH7" s="4" t="inlineStr">
        <is>
          <t>INCORRECTO</t>
        </is>
      </c>
      <c r="AI7" s="2" t="inlineStr">
        <is>
          <t>D</t>
        </is>
      </c>
      <c r="AJ7" s="4" t="inlineStr">
        <is>
          <t>INCORRECTO</t>
        </is>
      </c>
      <c r="AK7" s="2" t="inlineStr">
        <is>
          <t>B</t>
        </is>
      </c>
      <c r="AL7" s="4" t="inlineStr">
        <is>
          <t>INCORRECTO</t>
        </is>
      </c>
      <c r="AM7" s="5">
        <f>COUNTIF(J7:AL7,"CORRECTO")</f>
        <v/>
      </c>
      <c r="AN7" s="5">
        <f>COUNTIF(J7:AL7,"INCORRECTO")</f>
        <v/>
      </c>
      <c r="AO7" s="5" t="n">
        <v>15</v>
      </c>
      <c r="AP7" s="6">
        <f>AM7/AO7</f>
        <v/>
      </c>
    </row>
    <row r="8">
      <c r="A8" s="2" t="inlineStr"/>
      <c r="B8" s="2" t="inlineStr">
        <is>
          <t>111001012033</t>
        </is>
      </c>
      <c r="C8" s="2" t="inlineStr">
        <is>
          <t>COLEGIO VEINTE DE JULIO (IED)</t>
        </is>
      </c>
      <c r="D8" s="2" t="inlineStr">
        <is>
          <t>LUCIANNY ANGELISMAR ALVARADO JIMENEZ</t>
        </is>
      </c>
      <c r="E8" s="2" t="inlineStr">
        <is>
          <t>N37665429715</t>
        </is>
      </c>
      <c r="F8" s="2" t="n">
        <v>3</v>
      </c>
      <c r="G8" s="2" t="n">
        <v>302</v>
      </c>
      <c r="H8" s="2" t="inlineStr">
        <is>
          <t>MATEMÁTICAS</t>
        </is>
      </c>
      <c r="I8" s="2" t="inlineStr">
        <is>
          <t>D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D</t>
        </is>
      </c>
      <c r="P8" s="4" t="inlineStr">
        <is>
          <t>INCORRECTO</t>
        </is>
      </c>
      <c r="Q8" s="2" t="inlineStr">
        <is>
          <t>C</t>
        </is>
      </c>
      <c r="R8" s="4" t="inlineStr">
        <is>
          <t>INCORRECTO</t>
        </is>
      </c>
      <c r="S8" s="2" t="inlineStr">
        <is>
          <t>B</t>
        </is>
      </c>
      <c r="T8" s="4" t="inlineStr">
        <is>
          <t>INCORRECTO</t>
        </is>
      </c>
      <c r="U8" s="2" t="inlineStr">
        <is>
          <t>A</t>
        </is>
      </c>
      <c r="V8" s="4" t="inlineStr">
        <is>
          <t>INCORRECTO</t>
        </is>
      </c>
      <c r="W8" s="2" t="inlineStr">
        <is>
          <t>D</t>
        </is>
      </c>
      <c r="X8" s="3" t="inlineStr">
        <is>
          <t>CORRECTO</t>
        </is>
      </c>
      <c r="Y8" s="2" t="inlineStr">
        <is>
          <t>A</t>
        </is>
      </c>
      <c r="Z8" s="4" t="inlineStr">
        <is>
          <t>INCORRECTO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C</t>
        </is>
      </c>
      <c r="AD8" s="4" t="inlineStr">
        <is>
          <t>INCORRECTO</t>
        </is>
      </c>
      <c r="AE8" s="2" t="inlineStr">
        <is>
          <t>D</t>
        </is>
      </c>
      <c r="AF8" s="3" t="inlineStr">
        <is>
          <t>CORRECTO</t>
        </is>
      </c>
      <c r="AG8" s="2" t="inlineStr">
        <is>
          <t>A</t>
        </is>
      </c>
      <c r="AH8" s="4" t="inlineStr">
        <is>
          <t>INCORRECTO</t>
        </is>
      </c>
      <c r="AI8" s="2" t="inlineStr">
        <is>
          <t>A</t>
        </is>
      </c>
      <c r="AJ8" s="4" t="inlineStr">
        <is>
          <t>INCORRECTO</t>
        </is>
      </c>
      <c r="AK8" s="2" t="inlineStr">
        <is>
          <t>C</t>
        </is>
      </c>
      <c r="AL8" s="4" t="inlineStr">
        <is>
          <t>INCORRECTO</t>
        </is>
      </c>
      <c r="AM8" s="5">
        <f>COUNTIF(J8:AL8,"CORRECTO")</f>
        <v/>
      </c>
      <c r="AN8" s="5">
        <f>COUNTIF(J8:AL8,"INCORRECTO")</f>
        <v/>
      </c>
      <c r="AO8" s="5" t="n">
        <v>15</v>
      </c>
      <c r="AP8" s="6">
        <f>AM8/AO8</f>
        <v/>
      </c>
    </row>
    <row r="9">
      <c r="A9" s="2" t="inlineStr"/>
      <c r="B9" s="2" t="inlineStr">
        <is>
          <t>111001012033</t>
        </is>
      </c>
      <c r="C9" s="2" t="inlineStr">
        <is>
          <t>COLEGIO VEINTE DE JULIO (IED)</t>
        </is>
      </c>
      <c r="D9" s="2" t="inlineStr">
        <is>
          <t>LUCIANNY ANGELISMAR ALVARADO JIMENEZ</t>
        </is>
      </c>
      <c r="E9" s="2" t="inlineStr">
        <is>
          <t>N37665429715</t>
        </is>
      </c>
      <c r="F9" s="2" t="n">
        <v>3</v>
      </c>
      <c r="G9" s="2" t="n">
        <v>302</v>
      </c>
      <c r="H9" s="2" t="inlineStr">
        <is>
          <t>LENGUAJE</t>
        </is>
      </c>
      <c r="I9" s="2" t="inlineStr">
        <is>
          <t>D</t>
        </is>
      </c>
      <c r="J9" s="4" t="inlineStr">
        <is>
          <t>INCORRECTO</t>
        </is>
      </c>
      <c r="K9" s="2" t="inlineStr">
        <is>
          <t>D</t>
        </is>
      </c>
      <c r="L9" s="4" t="inlineStr">
        <is>
          <t>INCORRECTO</t>
        </is>
      </c>
      <c r="M9" s="2" t="inlineStr">
        <is>
          <t>D</t>
        </is>
      </c>
      <c r="N9" s="4" t="inlineStr">
        <is>
          <t>INCORRECTO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D</t>
        </is>
      </c>
      <c r="R9" s="4" t="inlineStr">
        <is>
          <t>INCORRECTO</t>
        </is>
      </c>
      <c r="S9" s="2" t="inlineStr">
        <is>
          <t>C</t>
        </is>
      </c>
      <c r="T9" s="4" t="inlineStr">
        <is>
          <t>INCORRECTO</t>
        </is>
      </c>
      <c r="U9" s="2" t="inlineStr">
        <is>
          <t>B</t>
        </is>
      </c>
      <c r="V9" s="4" t="inlineStr">
        <is>
          <t>INCORRECTO</t>
        </is>
      </c>
      <c r="W9" s="2" t="inlineStr">
        <is>
          <t>C</t>
        </is>
      </c>
      <c r="X9" s="3" t="inlineStr">
        <is>
          <t>CORRECTO</t>
        </is>
      </c>
      <c r="Y9" s="2" t="inlineStr">
        <is>
          <t>C</t>
        </is>
      </c>
      <c r="Z9" s="4" t="inlineStr">
        <is>
          <t>INCORRECTO</t>
        </is>
      </c>
      <c r="AA9" s="2" t="inlineStr">
        <is>
          <t>C</t>
        </is>
      </c>
      <c r="AB9" s="3" t="inlineStr">
        <is>
          <t>CORRECTO</t>
        </is>
      </c>
      <c r="AC9" s="2" t="inlineStr">
        <is>
          <t>C</t>
        </is>
      </c>
      <c r="AD9" s="3" t="inlineStr">
        <is>
          <t>CORRECTO</t>
        </is>
      </c>
      <c r="AE9" s="2" t="inlineStr">
        <is>
          <t>B</t>
        </is>
      </c>
      <c r="AF9" s="3" t="inlineStr">
        <is>
          <t>CORRECTO</t>
        </is>
      </c>
      <c r="AG9" s="2" t="inlineStr">
        <is>
          <t>C</t>
        </is>
      </c>
      <c r="AH9" s="4" t="inlineStr">
        <is>
          <t>INCORRECTO</t>
        </is>
      </c>
      <c r="AI9" s="2" t="inlineStr">
        <is>
          <t>D</t>
        </is>
      </c>
      <c r="AJ9" s="4" t="inlineStr">
        <is>
          <t>INCORRECTO</t>
        </is>
      </c>
      <c r="AK9" s="2" t="inlineStr">
        <is>
          <t>B</t>
        </is>
      </c>
      <c r="AL9" s="4" t="inlineStr">
        <is>
          <t>INCORRECTO</t>
        </is>
      </c>
      <c r="AM9" s="5">
        <f>COUNTIF(J9:AL9,"CORRECTO")</f>
        <v/>
      </c>
      <c r="AN9" s="5">
        <f>COUNTIF(J9:AL9,"INCORRECTO")</f>
        <v/>
      </c>
      <c r="AO9" s="5" t="n">
        <v>15</v>
      </c>
      <c r="AP9" s="6">
        <f>AM9/AO9</f>
        <v/>
      </c>
    </row>
    <row r="10">
      <c r="A10" s="2" t="inlineStr"/>
      <c r="B10" s="2" t="inlineStr">
        <is>
          <t>111001012033</t>
        </is>
      </c>
      <c r="C10" s="2" t="inlineStr">
        <is>
          <t>COLEGIO VEINTE DE JULIO (IED)</t>
        </is>
      </c>
      <c r="D10" s="2" t="inlineStr">
        <is>
          <t>ADHARA SALOME CASTILLO</t>
        </is>
      </c>
      <c r="E10" s="2" t="inlineStr">
        <is>
          <t>1141354706</t>
        </is>
      </c>
      <c r="F10" s="2" t="n">
        <v>3</v>
      </c>
      <c r="G10" s="2" t="n">
        <v>302</v>
      </c>
      <c r="H10" s="2" t="inlineStr">
        <is>
          <t>MATEMÁTICAS</t>
        </is>
      </c>
      <c r="I10" s="2" t="inlineStr">
        <is>
          <t>D</t>
        </is>
      </c>
      <c r="J10" s="3" t="inlineStr">
        <is>
          <t>CORRECTO</t>
        </is>
      </c>
      <c r="K10" s="2" t="inlineStr">
        <is>
          <t>C</t>
        </is>
      </c>
      <c r="L10" s="4" t="inlineStr">
        <is>
          <t>INCORRECTO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C</t>
        </is>
      </c>
      <c r="P10" s="3" t="inlineStr">
        <is>
          <t>CORRECTO</t>
        </is>
      </c>
      <c r="Q10" s="2" t="inlineStr">
        <is>
          <t>D</t>
        </is>
      </c>
      <c r="R10" s="4" t="inlineStr">
        <is>
          <t>INCORRECTO</t>
        </is>
      </c>
      <c r="S10" s="2" t="inlineStr">
        <is>
          <t>D</t>
        </is>
      </c>
      <c r="T10" s="4" t="inlineStr">
        <is>
          <t>INCORRECTO</t>
        </is>
      </c>
      <c r="U10" s="2" t="inlineStr">
        <is>
          <t>A</t>
        </is>
      </c>
      <c r="V10" s="4" t="inlineStr">
        <is>
          <t>INCORRECTO</t>
        </is>
      </c>
      <c r="W10" s="2" t="inlineStr">
        <is>
          <t>B</t>
        </is>
      </c>
      <c r="X10" s="4" t="inlineStr">
        <is>
          <t>INCORRECTO</t>
        </is>
      </c>
      <c r="Y10" s="2" t="inlineStr">
        <is>
          <t>D</t>
        </is>
      </c>
      <c r="Z10" s="4" t="inlineStr">
        <is>
          <t>INCORRECTO</t>
        </is>
      </c>
      <c r="AA10" s="2" t="inlineStr">
        <is>
          <t>B</t>
        </is>
      </c>
      <c r="AB10" s="4" t="inlineStr">
        <is>
          <t>INCORRECTO</t>
        </is>
      </c>
      <c r="AC10" s="2" t="inlineStr">
        <is>
          <t>C</t>
        </is>
      </c>
      <c r="AD10" s="4" t="inlineStr">
        <is>
          <t>INCORRECTO</t>
        </is>
      </c>
      <c r="AE10" s="2" t="inlineStr">
        <is>
          <t>D</t>
        </is>
      </c>
      <c r="AF10" s="3" t="inlineStr">
        <is>
          <t>CORRECTO</t>
        </is>
      </c>
      <c r="AG10" s="2" t="inlineStr">
        <is>
          <t>B</t>
        </is>
      </c>
      <c r="AH10" s="4" t="inlineStr">
        <is>
          <t>INCORRECTO</t>
        </is>
      </c>
      <c r="AI10" s="2" t="inlineStr">
        <is>
          <t>A</t>
        </is>
      </c>
      <c r="AJ10" s="4" t="inlineStr">
        <is>
          <t>INCORRECTO</t>
        </is>
      </c>
      <c r="AK10" s="2" t="inlineStr">
        <is>
          <t>C</t>
        </is>
      </c>
      <c r="AL10" s="4" t="inlineStr">
        <is>
          <t>INCORRECTO</t>
        </is>
      </c>
      <c r="AM10" s="5">
        <f>COUNTIF(J10:AL10,"CORRECTO")</f>
        <v/>
      </c>
      <c r="AN10" s="5">
        <f>COUNTIF(J10:AL10,"INCORRECTO")</f>
        <v/>
      </c>
      <c r="AO10" s="5" t="n">
        <v>15</v>
      </c>
      <c r="AP10" s="6">
        <f>AM10/AO10</f>
        <v/>
      </c>
    </row>
    <row r="11">
      <c r="A11" s="2" t="inlineStr"/>
      <c r="B11" s="2" t="inlineStr">
        <is>
          <t>111001012033</t>
        </is>
      </c>
      <c r="C11" s="2" t="inlineStr">
        <is>
          <t>COLEGIO VEINTE DE JULIO (IED)</t>
        </is>
      </c>
      <c r="D11" s="2" t="inlineStr">
        <is>
          <t>ADHARA SALOME CASTILLO</t>
        </is>
      </c>
      <c r="E11" s="2" t="inlineStr">
        <is>
          <t>1141354706</t>
        </is>
      </c>
      <c r="F11" s="2" t="n">
        <v>3</v>
      </c>
      <c r="G11" s="2" t="n">
        <v>302</v>
      </c>
      <c r="H11" s="2" t="inlineStr">
        <is>
          <t>LENGUAJE</t>
        </is>
      </c>
      <c r="I11" s="2" t="inlineStr">
        <is>
          <t>A</t>
        </is>
      </c>
      <c r="J11" s="4" t="inlineStr">
        <is>
          <t>INCORRECTO</t>
        </is>
      </c>
      <c r="K11" s="2" t="inlineStr">
        <is>
          <t>D</t>
        </is>
      </c>
      <c r="L11" s="4" t="inlineStr">
        <is>
          <t>INCORRECTO</t>
        </is>
      </c>
      <c r="M11" s="2" t="inlineStr">
        <is>
          <t>D</t>
        </is>
      </c>
      <c r="N11" s="4" t="inlineStr">
        <is>
          <t>INCORRECTO</t>
        </is>
      </c>
      <c r="O11" s="2" t="inlineStr">
        <is>
          <t>D</t>
        </is>
      </c>
      <c r="P11" s="4" t="inlineStr">
        <is>
          <t>INCORRECTO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C</t>
        </is>
      </c>
      <c r="T11" s="4" t="inlineStr">
        <is>
          <t>INCORRECTO</t>
        </is>
      </c>
      <c r="U11" s="2" t="inlineStr">
        <is>
          <t>B</t>
        </is>
      </c>
      <c r="V11" s="4" t="inlineStr">
        <is>
          <t>INCORRECTO</t>
        </is>
      </c>
      <c r="W11" s="2" t="inlineStr">
        <is>
          <t>C</t>
        </is>
      </c>
      <c r="X11" s="3" t="inlineStr">
        <is>
          <t>CORRECTO</t>
        </is>
      </c>
      <c r="Y11" s="2" t="inlineStr">
        <is>
          <t>C</t>
        </is>
      </c>
      <c r="Z11" s="4" t="inlineStr">
        <is>
          <t>INCORRECTO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C</t>
        </is>
      </c>
      <c r="AD11" s="3" t="inlineStr">
        <is>
          <t>CORRECTO</t>
        </is>
      </c>
      <c r="AE11" s="2" t="inlineStr">
        <is>
          <t>B</t>
        </is>
      </c>
      <c r="AF11" s="3" t="inlineStr">
        <is>
          <t>CORRECTO</t>
        </is>
      </c>
      <c r="AG11" s="2" t="inlineStr">
        <is>
          <t>C</t>
        </is>
      </c>
      <c r="AH11" s="4" t="inlineStr">
        <is>
          <t>INCORRECTO</t>
        </is>
      </c>
      <c r="AI11" s="2" t="inlineStr">
        <is>
          <t>A</t>
        </is>
      </c>
      <c r="AJ11" s="4" t="inlineStr">
        <is>
          <t>INCORRECTO</t>
        </is>
      </c>
      <c r="AK11" s="2" t="inlineStr">
        <is>
          <t>B</t>
        </is>
      </c>
      <c r="AL11" s="4" t="inlineStr">
        <is>
          <t>INCORRECTO</t>
        </is>
      </c>
      <c r="AM11" s="5">
        <f>COUNTIF(J11:AL11,"CORRECTO")</f>
        <v/>
      </c>
      <c r="AN11" s="5">
        <f>COUNTIF(J11:AL11,"INCORRECTO")</f>
        <v/>
      </c>
      <c r="AO11" s="5" t="n">
        <v>15</v>
      </c>
      <c r="AP11" s="6">
        <f>AM11/AO11</f>
        <v/>
      </c>
    </row>
    <row r="12">
      <c r="A12" s="2" t="inlineStr"/>
      <c r="B12" s="2" t="inlineStr">
        <is>
          <t>111001012033</t>
        </is>
      </c>
      <c r="C12" s="2" t="inlineStr">
        <is>
          <t>COLEGIO VEINTE DE JULIO (IED)</t>
        </is>
      </c>
      <c r="D12" s="2" t="inlineStr">
        <is>
          <t>HELEN SHANTAL TAMAYO SIERRA</t>
        </is>
      </c>
      <c r="E12" s="2" t="inlineStr">
        <is>
          <t>1092465529</t>
        </is>
      </c>
      <c r="F12" s="2" t="n">
        <v>3</v>
      </c>
      <c r="G12" s="2" t="n">
        <v>302</v>
      </c>
      <c r="H12" s="2" t="inlineStr">
        <is>
          <t>MATEMÁTICAS</t>
        </is>
      </c>
      <c r="I12" s="2" t="inlineStr">
        <is>
          <t>C</t>
        </is>
      </c>
      <c r="J12" s="4" t="inlineStr">
        <is>
          <t>INCORRECTO</t>
        </is>
      </c>
      <c r="K12" s="2" t="inlineStr">
        <is>
          <t>A</t>
        </is>
      </c>
      <c r="L12" s="4" t="inlineStr">
        <is>
          <t>INCORRECTO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D</t>
        </is>
      </c>
      <c r="T12" s="4" t="inlineStr">
        <is>
          <t>INCORRECTO</t>
        </is>
      </c>
      <c r="U12" s="2" t="inlineStr">
        <is>
          <t>A</t>
        </is>
      </c>
      <c r="V12" s="4" t="inlineStr">
        <is>
          <t>INCORRECTO</t>
        </is>
      </c>
      <c r="W12" s="2" t="inlineStr">
        <is>
          <t>D</t>
        </is>
      </c>
      <c r="X12" s="3" t="inlineStr">
        <is>
          <t>CORRECTO</t>
        </is>
      </c>
      <c r="Y12" s="2" t="inlineStr">
        <is>
          <t>D</t>
        </is>
      </c>
      <c r="Z12" s="4" t="inlineStr">
        <is>
          <t>INCORRECTO</t>
        </is>
      </c>
      <c r="AA12" s="2" t="inlineStr">
        <is>
          <t>B</t>
        </is>
      </c>
      <c r="AB12" s="4" t="inlineStr">
        <is>
          <t>INCORRECTO</t>
        </is>
      </c>
      <c r="AC12" s="2" t="inlineStr">
        <is>
          <t>C</t>
        </is>
      </c>
      <c r="AD12" s="4" t="inlineStr">
        <is>
          <t>INCORRECTO</t>
        </is>
      </c>
      <c r="AE12" s="2" t="inlineStr">
        <is>
          <t>D</t>
        </is>
      </c>
      <c r="AF12" s="3" t="inlineStr">
        <is>
          <t>CORRECTO</t>
        </is>
      </c>
      <c r="AG12" s="2" t="inlineStr">
        <is>
          <t>B</t>
        </is>
      </c>
      <c r="AH12" s="4" t="inlineStr">
        <is>
          <t>INCORRECTO</t>
        </is>
      </c>
      <c r="AI12" s="2" t="inlineStr">
        <is>
          <t>B</t>
        </is>
      </c>
      <c r="AJ12" s="4" t="inlineStr">
        <is>
          <t>INCORRECTO</t>
        </is>
      </c>
      <c r="AK12" s="2" t="inlineStr">
        <is>
          <t>C</t>
        </is>
      </c>
      <c r="AL12" s="4" t="inlineStr">
        <is>
          <t>INCORRECTO</t>
        </is>
      </c>
      <c r="AM12" s="5">
        <f>COUNTIF(J12:AL12,"CORRECTO")</f>
        <v/>
      </c>
      <c r="AN12" s="5">
        <f>COUNTIF(J12:AL12,"INCORRECTO")</f>
        <v/>
      </c>
      <c r="AO12" s="5" t="n">
        <v>15</v>
      </c>
      <c r="AP12" s="6">
        <f>AM12/AO12</f>
        <v/>
      </c>
    </row>
    <row r="13">
      <c r="A13" s="2" t="inlineStr"/>
      <c r="B13" s="2" t="inlineStr">
        <is>
          <t>111001012033</t>
        </is>
      </c>
      <c r="C13" s="2" t="inlineStr">
        <is>
          <t>COLEGIO VEINTE DE JULIO (IED)</t>
        </is>
      </c>
      <c r="D13" s="2" t="inlineStr">
        <is>
          <t>HELEN SHANTAL TAMAYO SIERRA</t>
        </is>
      </c>
      <c r="E13" s="2" t="inlineStr">
        <is>
          <t>1092465529</t>
        </is>
      </c>
      <c r="F13" s="2" t="n">
        <v>3</v>
      </c>
      <c r="G13" s="2" t="n">
        <v>302</v>
      </c>
      <c r="H13" s="2" t="inlineStr">
        <is>
          <t>LENGUAJE</t>
        </is>
      </c>
      <c r="I13" s="2" t="inlineStr">
        <is>
          <t>C</t>
        </is>
      </c>
      <c r="J13" s="4" t="inlineStr">
        <is>
          <t>INCORRECTO</t>
        </is>
      </c>
      <c r="K13" s="2" t="inlineStr">
        <is>
          <t>C</t>
        </is>
      </c>
      <c r="L13" s="4" t="inlineStr">
        <is>
          <t>INCORRECTO</t>
        </is>
      </c>
      <c r="M13" s="2" t="inlineStr">
        <is>
          <t>A</t>
        </is>
      </c>
      <c r="N13" s="4" t="inlineStr">
        <is>
          <t>INCORRECTO</t>
        </is>
      </c>
      <c r="O13" s="2" t="inlineStr">
        <is>
          <t>A</t>
        </is>
      </c>
      <c r="P13" s="4" t="inlineStr">
        <is>
          <t>INCORRECTO</t>
        </is>
      </c>
      <c r="Q13" s="2" t="inlineStr">
        <is>
          <t>D</t>
        </is>
      </c>
      <c r="R13" s="4" t="inlineStr">
        <is>
          <t>INCORRECTO</t>
        </is>
      </c>
      <c r="S13" s="2" t="inlineStr">
        <is>
          <t>C</t>
        </is>
      </c>
      <c r="T13" s="4" t="inlineStr">
        <is>
          <t>INCORRECTO</t>
        </is>
      </c>
      <c r="U13" s="2" t="inlineStr">
        <is>
          <t>B</t>
        </is>
      </c>
      <c r="V13" s="4" t="inlineStr">
        <is>
          <t>INCORRECTO</t>
        </is>
      </c>
      <c r="W13" s="2" t="inlineStr">
        <is>
          <t>C</t>
        </is>
      </c>
      <c r="X13" s="3" t="inlineStr">
        <is>
          <t>CORRECTO</t>
        </is>
      </c>
      <c r="Y13" s="2" t="inlineStr">
        <is>
          <t>C</t>
        </is>
      </c>
      <c r="Z13" s="4" t="inlineStr">
        <is>
          <t>INCORRECTO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C</t>
        </is>
      </c>
      <c r="AD13" s="3" t="inlineStr">
        <is>
          <t>CORRECTO</t>
        </is>
      </c>
      <c r="AE13" s="2" t="inlineStr">
        <is>
          <t>B</t>
        </is>
      </c>
      <c r="AF13" s="3" t="inlineStr">
        <is>
          <t>CORRECTO</t>
        </is>
      </c>
      <c r="AG13" s="2" t="inlineStr">
        <is>
          <t>C</t>
        </is>
      </c>
      <c r="AH13" s="4" t="inlineStr">
        <is>
          <t>INCORRECTO</t>
        </is>
      </c>
      <c r="AI13" s="2" t="inlineStr">
        <is>
          <t>A</t>
        </is>
      </c>
      <c r="AJ13" s="4" t="inlineStr">
        <is>
          <t>INCORRECTO</t>
        </is>
      </c>
      <c r="AK13" s="2" t="inlineStr">
        <is>
          <t>B</t>
        </is>
      </c>
      <c r="AL13" s="4" t="inlineStr">
        <is>
          <t>INCORRECTO</t>
        </is>
      </c>
      <c r="AM13" s="5">
        <f>COUNTIF(J13:AL13,"CORRECTO")</f>
        <v/>
      </c>
      <c r="AN13" s="5">
        <f>COUNTIF(J13:AL13,"INCORRECTO")</f>
        <v/>
      </c>
      <c r="AO13" s="5" t="n">
        <v>15</v>
      </c>
      <c r="AP13" s="6">
        <f>AM13/AO13</f>
        <v/>
      </c>
    </row>
    <row r="14">
      <c r="A14" s="2" t="inlineStr"/>
      <c r="B14" s="2" t="inlineStr">
        <is>
          <t>111001012033</t>
        </is>
      </c>
      <c r="C14" s="2" t="inlineStr">
        <is>
          <t>COLEGIO VEINTE DE JULIO (IED)</t>
        </is>
      </c>
      <c r="D14" s="2" t="inlineStr">
        <is>
          <t>KEVIN SANTIAGO FERNANDEZ GUERRERO</t>
        </is>
      </c>
      <c r="E14" s="2" t="inlineStr">
        <is>
          <t>1028672332</t>
        </is>
      </c>
      <c r="F14" s="2" t="n">
        <v>3</v>
      </c>
      <c r="G14" s="2" t="n">
        <v>302</v>
      </c>
      <c r="H14" s="2" t="inlineStr">
        <is>
          <t>MATEMÁTICAS</t>
        </is>
      </c>
      <c r="I14" s="2" t="inlineStr">
        <is>
          <t>D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C</t>
        </is>
      </c>
      <c r="P14" s="3" t="inlineStr">
        <is>
          <t>CORRECTO</t>
        </is>
      </c>
      <c r="Q14" s="2" t="inlineStr">
        <is>
          <t>C</t>
        </is>
      </c>
      <c r="R14" s="4" t="inlineStr">
        <is>
          <t>INCORRECTO</t>
        </is>
      </c>
      <c r="S14" s="2" t="inlineStr">
        <is>
          <t>D</t>
        </is>
      </c>
      <c r="T14" s="4" t="inlineStr">
        <is>
          <t>INCORRECTO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B</t>
        </is>
      </c>
      <c r="X14" s="4" t="inlineStr">
        <is>
          <t>INCORRECTO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D</t>
        </is>
      </c>
      <c r="AB14" s="4" t="inlineStr">
        <is>
          <t>INCORRECTO</t>
        </is>
      </c>
      <c r="AC14" s="2" t="inlineStr">
        <is>
          <t>C</t>
        </is>
      </c>
      <c r="AD14" s="4" t="inlineStr">
        <is>
          <t>INCORRECTO</t>
        </is>
      </c>
      <c r="AE14" s="2" t="inlineStr">
        <is>
          <t>D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B</t>
        </is>
      </c>
      <c r="AJ14" s="4" t="inlineStr">
        <is>
          <t>INCORRECTO</t>
        </is>
      </c>
      <c r="AK14" s="2" t="inlineStr">
        <is>
          <t>C</t>
        </is>
      </c>
      <c r="AL14" s="4" t="inlineStr">
        <is>
          <t>INCORRECTO</t>
        </is>
      </c>
      <c r="AM14" s="5">
        <f>COUNTIF(J14:AL14,"CORRECTO")</f>
        <v/>
      </c>
      <c r="AN14" s="5">
        <f>COUNTIF(J14:AL14,"INCORRECTO")</f>
        <v/>
      </c>
      <c r="AO14" s="5" t="n">
        <v>15</v>
      </c>
      <c r="AP14" s="6">
        <f>AM14/AO14</f>
        <v/>
      </c>
    </row>
    <row r="15">
      <c r="A15" s="2" t="inlineStr"/>
      <c r="B15" s="2" t="inlineStr">
        <is>
          <t>111001012033</t>
        </is>
      </c>
      <c r="C15" s="2" t="inlineStr">
        <is>
          <t>COLEGIO VEINTE DE JULIO (IED)</t>
        </is>
      </c>
      <c r="D15" s="2" t="inlineStr">
        <is>
          <t>KEVIN SANTIAGO FERNANDEZ GUERRERO</t>
        </is>
      </c>
      <c r="E15" s="2" t="inlineStr">
        <is>
          <t>1028672332</t>
        </is>
      </c>
      <c r="F15" s="2" t="n">
        <v>3</v>
      </c>
      <c r="G15" s="2" t="n">
        <v>302</v>
      </c>
      <c r="H15" s="2" t="inlineStr">
        <is>
          <t>LENGUAJE</t>
        </is>
      </c>
      <c r="I15" s="2" t="inlineStr">
        <is>
          <t>A</t>
        </is>
      </c>
      <c r="J15" s="4" t="inlineStr">
        <is>
          <t>INCORRECTO</t>
        </is>
      </c>
      <c r="K15" s="2" t="inlineStr">
        <is>
          <t>A</t>
        </is>
      </c>
      <c r="L15" s="4" t="inlineStr">
        <is>
          <t>INCORRECTO</t>
        </is>
      </c>
      <c r="M15" s="2" t="inlineStr">
        <is>
          <t>D</t>
        </is>
      </c>
      <c r="N15" s="4" t="inlineStr">
        <is>
          <t>INCORRECTO</t>
        </is>
      </c>
      <c r="O15" s="2" t="inlineStr">
        <is>
          <t>A</t>
        </is>
      </c>
      <c r="P15" s="4" t="inlineStr">
        <is>
          <t>INCORRECTO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C</t>
        </is>
      </c>
      <c r="T15" s="4" t="inlineStr">
        <is>
          <t>INCORRECTO</t>
        </is>
      </c>
      <c r="U15" s="2" t="inlineStr">
        <is>
          <t>B</t>
        </is>
      </c>
      <c r="V15" s="4" t="inlineStr">
        <is>
          <t>INCORRECTO</t>
        </is>
      </c>
      <c r="W15" s="2" t="inlineStr">
        <is>
          <t>C</t>
        </is>
      </c>
      <c r="X15" s="3" t="inlineStr">
        <is>
          <t>CORRECTO</t>
        </is>
      </c>
      <c r="Y15" s="2" t="inlineStr">
        <is>
          <t>C</t>
        </is>
      </c>
      <c r="Z15" s="4" t="inlineStr">
        <is>
          <t>INCORRECTO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C</t>
        </is>
      </c>
      <c r="AD15" s="3" t="inlineStr">
        <is>
          <t>CORRECTO</t>
        </is>
      </c>
      <c r="AE15" s="2" t="inlineStr">
        <is>
          <t>B</t>
        </is>
      </c>
      <c r="AF15" s="3" t="inlineStr">
        <is>
          <t>CORRECTO</t>
        </is>
      </c>
      <c r="AG15" s="2" t="inlineStr">
        <is>
          <t>C</t>
        </is>
      </c>
      <c r="AH15" s="4" t="inlineStr">
        <is>
          <t>INCORRECTO</t>
        </is>
      </c>
      <c r="AI15" s="2" t="inlineStr">
        <is>
          <t>A</t>
        </is>
      </c>
      <c r="AJ15" s="4" t="inlineStr">
        <is>
          <t>INCORRECTO</t>
        </is>
      </c>
      <c r="AK15" s="2" t="inlineStr">
        <is>
          <t>D</t>
        </is>
      </c>
      <c r="AL15" s="4" t="inlineStr">
        <is>
          <t>INCORRECTO</t>
        </is>
      </c>
      <c r="AM15" s="5">
        <f>COUNTIF(J15:AL15,"CORRECTO")</f>
        <v/>
      </c>
      <c r="AN15" s="5">
        <f>COUNTIF(J15:AL15,"INCORRECTO")</f>
        <v/>
      </c>
      <c r="AO15" s="5" t="n">
        <v>15</v>
      </c>
      <c r="AP15" s="6">
        <f>AM15/AO15</f>
        <v/>
      </c>
    </row>
    <row r="16">
      <c r="A16" s="2" t="inlineStr"/>
      <c r="B16" s="2" t="inlineStr">
        <is>
          <t>111001012033</t>
        </is>
      </c>
      <c r="C16" s="2" t="inlineStr">
        <is>
          <t>COLEGIO VEINTE DE JULIO (IED)</t>
        </is>
      </c>
      <c r="D16" s="2" t="inlineStr">
        <is>
          <t>DILAN SAMUEL GAVIRIA VILLAQUIRAN</t>
        </is>
      </c>
      <c r="E16" s="2" t="inlineStr">
        <is>
          <t>1074577351</t>
        </is>
      </c>
      <c r="F16" s="2" t="n">
        <v>3</v>
      </c>
      <c r="G16" s="2" t="n">
        <v>302</v>
      </c>
      <c r="H16" s="2" t="inlineStr">
        <is>
          <t>MATEMÁTICAS</t>
        </is>
      </c>
      <c r="I16" s="2" t="inlineStr">
        <is>
          <t>D</t>
        </is>
      </c>
      <c r="J16" s="3" t="inlineStr">
        <is>
          <t>CORRECTO</t>
        </is>
      </c>
      <c r="K16" s="2" t="inlineStr">
        <is>
          <t>C</t>
        </is>
      </c>
      <c r="L16" s="4" t="inlineStr">
        <is>
          <t>INCORRECTO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D</t>
        </is>
      </c>
      <c r="T16" s="4" t="inlineStr">
        <is>
          <t>INCORRECTO</t>
        </is>
      </c>
      <c r="U16" s="2" t="inlineStr">
        <is>
          <t>A</t>
        </is>
      </c>
      <c r="V16" s="4" t="inlineStr">
        <is>
          <t>INCORRECTO</t>
        </is>
      </c>
      <c r="W16" s="2" t="inlineStr">
        <is>
          <t>B</t>
        </is>
      </c>
      <c r="X16" s="4" t="inlineStr">
        <is>
          <t>INCORRECTO</t>
        </is>
      </c>
      <c r="Y16" s="2" t="inlineStr">
        <is>
          <t>D</t>
        </is>
      </c>
      <c r="Z16" s="4" t="inlineStr">
        <is>
          <t>INCORRECTO</t>
        </is>
      </c>
      <c r="AA16" s="2" t="inlineStr">
        <is>
          <t>A</t>
        </is>
      </c>
      <c r="AB16" s="4" t="inlineStr">
        <is>
          <t>INCORRECTO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D</t>
        </is>
      </c>
      <c r="AF16" s="3" t="inlineStr">
        <is>
          <t>CORRECTO</t>
        </is>
      </c>
      <c r="AG16" s="2" t="inlineStr">
        <is>
          <t>B</t>
        </is>
      </c>
      <c r="AH16" s="4" t="inlineStr">
        <is>
          <t>INCORRECTO</t>
        </is>
      </c>
      <c r="AI16" s="2" t="inlineStr">
        <is>
          <t>B</t>
        </is>
      </c>
      <c r="AJ16" s="4" t="inlineStr">
        <is>
          <t>INCORRECTO</t>
        </is>
      </c>
      <c r="AK16" s="2" t="inlineStr">
        <is>
          <t>C</t>
        </is>
      </c>
      <c r="AL16" s="4" t="inlineStr">
        <is>
          <t>INCORRECTO</t>
        </is>
      </c>
      <c r="AM16" s="5">
        <f>COUNTIF(J16:AL16,"CORRECTO")</f>
        <v/>
      </c>
      <c r="AN16" s="5">
        <f>COUNTIF(J16:AL16,"INCORRECTO")</f>
        <v/>
      </c>
      <c r="AO16" s="5" t="n">
        <v>15</v>
      </c>
      <c r="AP16" s="6">
        <f>AM16/AO16</f>
        <v/>
      </c>
    </row>
    <row r="17">
      <c r="A17" s="2" t="inlineStr"/>
      <c r="B17" s="2" t="inlineStr">
        <is>
          <t>111001012033</t>
        </is>
      </c>
      <c r="C17" s="2" t="inlineStr">
        <is>
          <t>COLEGIO VEINTE DE JULIO (IED)</t>
        </is>
      </c>
      <c r="D17" s="2" t="inlineStr">
        <is>
          <t>DILAN SAMUEL GAVIRIA VILLAQUIRAN</t>
        </is>
      </c>
      <c r="E17" s="2" t="inlineStr">
        <is>
          <t>1074577351</t>
        </is>
      </c>
      <c r="F17" s="2" t="n">
        <v>3</v>
      </c>
      <c r="G17" s="2" t="n">
        <v>302</v>
      </c>
      <c r="H17" s="2" t="inlineStr">
        <is>
          <t>LENGUAJE</t>
        </is>
      </c>
      <c r="I17" s="2" t="inlineStr">
        <is>
          <t>A</t>
        </is>
      </c>
      <c r="J17" s="4" t="inlineStr">
        <is>
          <t>INCORRECTO</t>
        </is>
      </c>
      <c r="K17" s="2" t="inlineStr">
        <is>
          <t>C</t>
        </is>
      </c>
      <c r="L17" s="4" t="inlineStr">
        <is>
          <t>INCORRECTO</t>
        </is>
      </c>
      <c r="M17" s="2" t="inlineStr">
        <is>
          <t>D</t>
        </is>
      </c>
      <c r="N17" s="4" t="inlineStr">
        <is>
          <t>INCORRECTO</t>
        </is>
      </c>
      <c r="O17" s="2" t="inlineStr">
        <is>
          <t>A</t>
        </is>
      </c>
      <c r="P17" s="4" t="inlineStr">
        <is>
          <t>INCORRECTO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C</t>
        </is>
      </c>
      <c r="T17" s="4" t="inlineStr">
        <is>
          <t>INCORRECTO</t>
        </is>
      </c>
      <c r="U17" s="2" t="inlineStr">
        <is>
          <t>B</t>
        </is>
      </c>
      <c r="V17" s="4" t="inlineStr">
        <is>
          <t>INCORRECTO</t>
        </is>
      </c>
      <c r="W17" s="2" t="inlineStr">
        <is>
          <t>C</t>
        </is>
      </c>
      <c r="X17" s="3" t="inlineStr">
        <is>
          <t>CORRECTO</t>
        </is>
      </c>
      <c r="Y17" s="2" t="inlineStr">
        <is>
          <t>C</t>
        </is>
      </c>
      <c r="Z17" s="4" t="inlineStr">
        <is>
          <t>INCORRECTO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C</t>
        </is>
      </c>
      <c r="AD17" s="3" t="inlineStr">
        <is>
          <t>CORRECTO</t>
        </is>
      </c>
      <c r="AE17" s="2" t="inlineStr">
        <is>
          <t>B</t>
        </is>
      </c>
      <c r="AF17" s="3" t="inlineStr">
        <is>
          <t>CORRECTO</t>
        </is>
      </c>
      <c r="AG17" s="2" t="inlineStr">
        <is>
          <t>C</t>
        </is>
      </c>
      <c r="AH17" s="4" t="inlineStr">
        <is>
          <t>INCORRECTO</t>
        </is>
      </c>
      <c r="AI17" s="2" t="inlineStr">
        <is>
          <t>A</t>
        </is>
      </c>
      <c r="AJ17" s="4" t="inlineStr">
        <is>
          <t>INCORRECTO</t>
        </is>
      </c>
      <c r="AK17" s="2" t="inlineStr">
        <is>
          <t>D</t>
        </is>
      </c>
      <c r="AL17" s="4" t="inlineStr">
        <is>
          <t>INCORRECTO</t>
        </is>
      </c>
      <c r="AM17" s="5">
        <f>COUNTIF(J17:AL17,"CORRECTO")</f>
        <v/>
      </c>
      <c r="AN17" s="5">
        <f>COUNTIF(J17:AL17,"INCORRECTO")</f>
        <v/>
      </c>
      <c r="AO17" s="5" t="n">
        <v>15</v>
      </c>
      <c r="AP17" s="6">
        <f>AM17/AO17</f>
        <v/>
      </c>
    </row>
    <row r="18">
      <c r="A18" s="2" t="inlineStr"/>
      <c r="B18" s="2" t="inlineStr">
        <is>
          <t>111001012033</t>
        </is>
      </c>
      <c r="C18" s="2" t="inlineStr">
        <is>
          <t>COLEGIO VEINTE DE JULIO (IED)</t>
        </is>
      </c>
      <c r="D18" s="2" t="inlineStr">
        <is>
          <t>CARMEN ALEXIA MARTINEZ MORALES</t>
        </is>
      </c>
      <c r="E18" s="2" t="inlineStr"/>
      <c r="F18" s="2" t="n">
        <v>3</v>
      </c>
      <c r="G18" s="2" t="n">
        <v>302</v>
      </c>
      <c r="H18" s="2" t="inlineStr">
        <is>
          <t>MATEMÁTICAS</t>
        </is>
      </c>
      <c r="I18" s="2" t="inlineStr">
        <is>
          <t>D</t>
        </is>
      </c>
      <c r="J18" s="3" t="inlineStr">
        <is>
          <t>CORRECTO</t>
        </is>
      </c>
      <c r="K18" s="2" t="inlineStr">
        <is>
          <t>C</t>
        </is>
      </c>
      <c r="L18" s="4" t="inlineStr">
        <is>
          <t>INCORRECTO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B</t>
        </is>
      </c>
      <c r="T18" s="4" t="inlineStr">
        <is>
          <t>INCORRECTO</t>
        </is>
      </c>
      <c r="U18" s="2" t="inlineStr">
        <is>
          <t>D</t>
        </is>
      </c>
      <c r="V18" s="4" t="inlineStr">
        <is>
          <t>INCORRECTO</t>
        </is>
      </c>
      <c r="W18" s="2" t="inlineStr">
        <is>
          <t>C</t>
        </is>
      </c>
      <c r="X18" s="4" t="inlineStr">
        <is>
          <t>INCORRECTO</t>
        </is>
      </c>
      <c r="Y18" s="2" t="inlineStr">
        <is>
          <t>D</t>
        </is>
      </c>
      <c r="Z18" s="4" t="inlineStr">
        <is>
          <t>INCORRECTO</t>
        </is>
      </c>
      <c r="AA18" s="2" t="inlineStr">
        <is>
          <t>A</t>
        </is>
      </c>
      <c r="AB18" s="4" t="inlineStr">
        <is>
          <t>INCORRECTO</t>
        </is>
      </c>
      <c r="AC18" s="2" t="inlineStr">
        <is>
          <t>C</t>
        </is>
      </c>
      <c r="AD18" s="4" t="inlineStr">
        <is>
          <t>INCORRECTO</t>
        </is>
      </c>
      <c r="AE18" s="2" t="inlineStr">
        <is>
          <t>D</t>
        </is>
      </c>
      <c r="AF18" s="3" t="inlineStr">
        <is>
          <t>CORRECTO</t>
        </is>
      </c>
      <c r="AG18" s="2" t="inlineStr">
        <is>
          <t>B</t>
        </is>
      </c>
      <c r="AH18" s="4" t="inlineStr">
        <is>
          <t>INCORRECTO</t>
        </is>
      </c>
      <c r="AI18" s="2" t="inlineStr">
        <is>
          <t>A</t>
        </is>
      </c>
      <c r="AJ18" s="4" t="inlineStr">
        <is>
          <t>INCORRECTO</t>
        </is>
      </c>
      <c r="AK18" s="2" t="inlineStr">
        <is>
          <t>C</t>
        </is>
      </c>
      <c r="AL18" s="4" t="inlineStr">
        <is>
          <t>INCORRECTO</t>
        </is>
      </c>
      <c r="AM18" s="5">
        <f>COUNTIF(J18:AL18,"CORRECTO")</f>
        <v/>
      </c>
      <c r="AN18" s="5">
        <f>COUNTIF(J18:AL18,"INCORRECTO")</f>
        <v/>
      </c>
      <c r="AO18" s="5" t="n">
        <v>15</v>
      </c>
      <c r="AP18" s="6">
        <f>AM18/AO18</f>
        <v/>
      </c>
    </row>
    <row r="19">
      <c r="A19" s="2" t="inlineStr"/>
      <c r="B19" s="2" t="inlineStr">
        <is>
          <t>111001012033</t>
        </is>
      </c>
      <c r="C19" s="2" t="inlineStr">
        <is>
          <t>COLEGIO VEINTE DE JULIO (IED)</t>
        </is>
      </c>
      <c r="D19" s="2" t="inlineStr">
        <is>
          <t>CARMEN ALEXIA MARTINEZ MORALES</t>
        </is>
      </c>
      <c r="E19" s="2" t="inlineStr"/>
      <c r="F19" s="2" t="n">
        <v>3</v>
      </c>
      <c r="G19" s="2" t="n">
        <v>302</v>
      </c>
      <c r="H19" s="2" t="inlineStr">
        <is>
          <t>LENGUAJE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C</t>
        </is>
      </c>
      <c r="L19" s="4" t="inlineStr">
        <is>
          <t>INCORRECTO</t>
        </is>
      </c>
      <c r="M19" s="2" t="inlineStr">
        <is>
          <t>D</t>
        </is>
      </c>
      <c r="N19" s="4" t="inlineStr">
        <is>
          <t>INCORRECTO</t>
        </is>
      </c>
      <c r="O19" s="2" t="inlineStr">
        <is>
          <t>A</t>
        </is>
      </c>
      <c r="P19" s="4" t="inlineStr">
        <is>
          <t>INCORRECTO</t>
        </is>
      </c>
      <c r="Q19" s="2" t="inlineStr">
        <is>
          <t>A</t>
        </is>
      </c>
      <c r="R19" s="4" t="inlineStr">
        <is>
          <t>INCORRECTO</t>
        </is>
      </c>
      <c r="S19" s="2" t="inlineStr">
        <is>
          <t>C</t>
        </is>
      </c>
      <c r="T19" s="4" t="inlineStr">
        <is>
          <t>INCORRECTO</t>
        </is>
      </c>
      <c r="U19" s="2" t="inlineStr">
        <is>
          <t>B</t>
        </is>
      </c>
      <c r="V19" s="4" t="inlineStr">
        <is>
          <t>INCORRECTO</t>
        </is>
      </c>
      <c r="W19" s="2" t="inlineStr">
        <is>
          <t>C</t>
        </is>
      </c>
      <c r="X19" s="3" t="inlineStr">
        <is>
          <t>CORRECTO</t>
        </is>
      </c>
      <c r="Y19" s="2" t="inlineStr">
        <is>
          <t>C</t>
        </is>
      </c>
      <c r="Z19" s="4" t="inlineStr">
        <is>
          <t>INCORRECTO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C</t>
        </is>
      </c>
      <c r="AD19" s="3" t="inlineStr">
        <is>
          <t>CORRECTO</t>
        </is>
      </c>
      <c r="AE19" s="2" t="inlineStr">
        <is>
          <t>B</t>
        </is>
      </c>
      <c r="AF19" s="3" t="inlineStr">
        <is>
          <t>CORRECTO</t>
        </is>
      </c>
      <c r="AG19" s="2" t="inlineStr">
        <is>
          <t>C</t>
        </is>
      </c>
      <c r="AH19" s="4" t="inlineStr">
        <is>
          <t>INCORRECTO</t>
        </is>
      </c>
      <c r="AI19" s="2" t="inlineStr">
        <is>
          <t>A</t>
        </is>
      </c>
      <c r="AJ19" s="4" t="inlineStr">
        <is>
          <t>INCORRECTO</t>
        </is>
      </c>
      <c r="AK19" s="2" t="inlineStr">
        <is>
          <t>B</t>
        </is>
      </c>
      <c r="AL19" s="4" t="inlineStr">
        <is>
          <t>INCORRECTO</t>
        </is>
      </c>
      <c r="AM19" s="5">
        <f>COUNTIF(J19:AL19,"CORRECTO")</f>
        <v/>
      </c>
      <c r="AN19" s="5">
        <f>COUNTIF(J19:AL19,"INCORRECTO")</f>
        <v/>
      </c>
      <c r="AO19" s="5" t="n">
        <v>15</v>
      </c>
      <c r="AP19" s="6">
        <f>AM19/AO19</f>
        <v/>
      </c>
    </row>
    <row r="20">
      <c r="A20" s="2" t="inlineStr"/>
      <c r="B20" s="2" t="inlineStr">
        <is>
          <t>111001012033</t>
        </is>
      </c>
      <c r="C20" s="2" t="inlineStr">
        <is>
          <t>COLEGIO VEINTE DE JULIO (IED)</t>
        </is>
      </c>
      <c r="D20" s="2" t="inlineStr">
        <is>
          <t>JORGE LUIS FERNANDEZ URIELES</t>
        </is>
      </c>
      <c r="E20" s="2" t="inlineStr">
        <is>
          <t>1137878884</t>
        </is>
      </c>
      <c r="F20" s="2" t="n">
        <v>3</v>
      </c>
      <c r="G20" s="2" t="n">
        <v>302</v>
      </c>
      <c r="H20" s="2" t="inlineStr">
        <is>
          <t>MATEMÁTICAS</t>
        </is>
      </c>
      <c r="I20" s="2" t="inlineStr">
        <is>
          <t>D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C</t>
        </is>
      </c>
      <c r="R20" s="4" t="inlineStr">
        <is>
          <t>INCORRECTO</t>
        </is>
      </c>
      <c r="S20" s="2" t="inlineStr">
        <is>
          <t>D</t>
        </is>
      </c>
      <c r="T20" s="4" t="inlineStr">
        <is>
          <t>INCORRECTO</t>
        </is>
      </c>
      <c r="U20" s="2" t="inlineStr">
        <is>
          <t>A</t>
        </is>
      </c>
      <c r="V20" s="4" t="inlineStr">
        <is>
          <t>INCORRECTO</t>
        </is>
      </c>
      <c r="W20" s="2" t="inlineStr">
        <is>
          <t>A</t>
        </is>
      </c>
      <c r="X20" s="4" t="inlineStr">
        <is>
          <t>INCORRECTO</t>
        </is>
      </c>
      <c r="Y20" s="2" t="inlineStr">
        <is>
          <t>B</t>
        </is>
      </c>
      <c r="Z20" s="4" t="inlineStr">
        <is>
          <t>INCORRECTO</t>
        </is>
      </c>
      <c r="AA20" s="2" t="inlineStr">
        <is>
          <t>B</t>
        </is>
      </c>
      <c r="AB20" s="4" t="inlineStr">
        <is>
          <t>INCORRECTO</t>
        </is>
      </c>
      <c r="AC20" s="2" t="inlineStr">
        <is>
          <t>C</t>
        </is>
      </c>
      <c r="AD20" s="4" t="inlineStr">
        <is>
          <t>INCORRECTO</t>
        </is>
      </c>
      <c r="AE20" s="2" t="inlineStr">
        <is>
          <t>D</t>
        </is>
      </c>
      <c r="AF20" s="3" t="inlineStr">
        <is>
          <t>CORRECTO</t>
        </is>
      </c>
      <c r="AG20" s="2" t="inlineStr">
        <is>
          <t>B</t>
        </is>
      </c>
      <c r="AH20" s="4" t="inlineStr">
        <is>
          <t>INCORRECTO</t>
        </is>
      </c>
      <c r="AI20" s="2" t="inlineStr">
        <is>
          <t>A</t>
        </is>
      </c>
      <c r="AJ20" s="4" t="inlineStr">
        <is>
          <t>INCORRECTO</t>
        </is>
      </c>
      <c r="AK20" s="2" t="inlineStr">
        <is>
          <t>C</t>
        </is>
      </c>
      <c r="AL20" s="4" t="inlineStr">
        <is>
          <t>INCORRECTO</t>
        </is>
      </c>
      <c r="AM20" s="5">
        <f>COUNTIF(J20:AL20,"CORRECTO")</f>
        <v/>
      </c>
      <c r="AN20" s="5">
        <f>COUNTIF(J20:AL20,"INCORRECTO")</f>
        <v/>
      </c>
      <c r="AO20" s="5" t="n">
        <v>15</v>
      </c>
      <c r="AP20" s="6">
        <f>AM20/AO20</f>
        <v/>
      </c>
    </row>
    <row r="21">
      <c r="A21" s="2" t="inlineStr"/>
      <c r="B21" s="2" t="inlineStr">
        <is>
          <t>111001012033</t>
        </is>
      </c>
      <c r="C21" s="2" t="inlineStr">
        <is>
          <t>COLEGIO VEINTE DE JULIO (IED)</t>
        </is>
      </c>
      <c r="D21" s="2" t="inlineStr">
        <is>
          <t>JORGE LUIS FERNANDEZ URIELES</t>
        </is>
      </c>
      <c r="E21" s="2" t="inlineStr">
        <is>
          <t>1137878884</t>
        </is>
      </c>
      <c r="F21" s="2" t="n">
        <v>3</v>
      </c>
      <c r="G21" s="2" t="n">
        <v>302</v>
      </c>
      <c r="H21" s="2" t="inlineStr">
        <is>
          <t>LENGUAJE</t>
        </is>
      </c>
      <c r="I21" s="2" t="inlineStr">
        <is>
          <t>A</t>
        </is>
      </c>
      <c r="J21" s="4" t="inlineStr">
        <is>
          <t>INCORRECTO</t>
        </is>
      </c>
      <c r="K21" s="2" t="inlineStr">
        <is>
          <t>A</t>
        </is>
      </c>
      <c r="L21" s="4" t="inlineStr">
        <is>
          <t>INCORRECTO</t>
        </is>
      </c>
      <c r="M21" s="2" t="inlineStr">
        <is>
          <t>D</t>
        </is>
      </c>
      <c r="N21" s="4" t="inlineStr">
        <is>
          <t>INCORRECTO</t>
        </is>
      </c>
      <c r="O21" s="2" t="inlineStr">
        <is>
          <t>A</t>
        </is>
      </c>
      <c r="P21" s="4" t="inlineStr">
        <is>
          <t>INCORRECTO</t>
        </is>
      </c>
      <c r="Q21" s="2" t="inlineStr">
        <is>
          <t>A</t>
        </is>
      </c>
      <c r="R21" s="4" t="inlineStr">
        <is>
          <t>INCORRECTO</t>
        </is>
      </c>
      <c r="S21" s="2" t="inlineStr">
        <is>
          <t>C</t>
        </is>
      </c>
      <c r="T21" s="4" t="inlineStr">
        <is>
          <t>INCORRECTO</t>
        </is>
      </c>
      <c r="U21" s="2" t="inlineStr">
        <is>
          <t>B</t>
        </is>
      </c>
      <c r="V21" s="4" t="inlineStr">
        <is>
          <t>INCORRECTO</t>
        </is>
      </c>
      <c r="W21" s="2" t="inlineStr">
        <is>
          <t>C</t>
        </is>
      </c>
      <c r="X21" s="3" t="inlineStr">
        <is>
          <t>CORRECTO</t>
        </is>
      </c>
      <c r="Y21" s="2" t="inlineStr">
        <is>
          <t>D</t>
        </is>
      </c>
      <c r="Z21" s="4" t="inlineStr">
        <is>
          <t>INCORRECTO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C</t>
        </is>
      </c>
      <c r="AD21" s="3" t="inlineStr">
        <is>
          <t>CORRECTO</t>
        </is>
      </c>
      <c r="AE21" s="2" t="inlineStr">
        <is>
          <t>B</t>
        </is>
      </c>
      <c r="AF21" s="3" t="inlineStr">
        <is>
          <t>CORRECTO</t>
        </is>
      </c>
      <c r="AG21" s="2" t="inlineStr">
        <is>
          <t>C</t>
        </is>
      </c>
      <c r="AH21" s="4" t="inlineStr">
        <is>
          <t>INCORRECTO</t>
        </is>
      </c>
      <c r="AI21" s="2" t="inlineStr">
        <is>
          <t>A</t>
        </is>
      </c>
      <c r="AJ21" s="4" t="inlineStr">
        <is>
          <t>INCORRECTO</t>
        </is>
      </c>
      <c r="AK21" s="2" t="inlineStr">
        <is>
          <t>B</t>
        </is>
      </c>
      <c r="AL21" s="4" t="inlineStr">
        <is>
          <t>INCORRECTO</t>
        </is>
      </c>
      <c r="AM21" s="5">
        <f>COUNTIF(J21:AL21,"CORRECTO")</f>
        <v/>
      </c>
      <c r="AN21" s="5">
        <f>COUNTIF(J21:AL21,"INCORRECTO")</f>
        <v/>
      </c>
      <c r="AO21" s="5" t="n">
        <v>15</v>
      </c>
      <c r="AP21" s="6">
        <f>AM21/AO21</f>
        <v/>
      </c>
    </row>
    <row r="22">
      <c r="A22" s="2" t="inlineStr"/>
      <c r="B22" s="2" t="inlineStr">
        <is>
          <t>111001012033</t>
        </is>
      </c>
      <c r="C22" s="2" t="inlineStr">
        <is>
          <t>COLEGIO VEINTE DE JULIO (IED)</t>
        </is>
      </c>
      <c r="D22" s="2" t="inlineStr">
        <is>
          <t>RONNIANGELIS VALERIA GUZMAN BARBERA</t>
        </is>
      </c>
      <c r="E22" s="2" t="inlineStr">
        <is>
          <t>820232182520</t>
        </is>
      </c>
      <c r="F22" s="2" t="n">
        <v>3</v>
      </c>
      <c r="G22" s="2" t="n">
        <v>302</v>
      </c>
      <c r="H22" s="2" t="inlineStr">
        <is>
          <t>MATEMÁTICAS</t>
        </is>
      </c>
      <c r="I22" s="2" t="inlineStr">
        <is>
          <t>D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D</t>
        </is>
      </c>
      <c r="P22" s="4" t="inlineStr">
        <is>
          <t>INCORRECTO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D</t>
        </is>
      </c>
      <c r="T22" s="4" t="inlineStr">
        <is>
          <t>INCORRECTO</t>
        </is>
      </c>
      <c r="U22" s="2" t="inlineStr">
        <is>
          <t>D</t>
        </is>
      </c>
      <c r="V22" s="4" t="inlineStr">
        <is>
          <t>INCORRECTO</t>
        </is>
      </c>
      <c r="W22" s="2" t="inlineStr">
        <is>
          <t>D</t>
        </is>
      </c>
      <c r="X22" s="3" t="inlineStr">
        <is>
          <t>CORRECTO</t>
        </is>
      </c>
      <c r="Y22" s="2" t="inlineStr">
        <is>
          <t>D</t>
        </is>
      </c>
      <c r="Z22" s="4" t="inlineStr">
        <is>
          <t>INCORRECTO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C</t>
        </is>
      </c>
      <c r="AD22" s="4" t="inlineStr">
        <is>
          <t>INCORRECTO</t>
        </is>
      </c>
      <c r="AE22" s="2" t="inlineStr">
        <is>
          <t>D</t>
        </is>
      </c>
      <c r="AF22" s="3" t="inlineStr">
        <is>
          <t>CORRECTO</t>
        </is>
      </c>
      <c r="AG22" s="2" t="inlineStr">
        <is>
          <t>B</t>
        </is>
      </c>
      <c r="AH22" s="4" t="inlineStr">
        <is>
          <t>INCORRECTO</t>
        </is>
      </c>
      <c r="AI22" s="2" t="inlineStr">
        <is>
          <t>D</t>
        </is>
      </c>
      <c r="AJ22" s="3" t="inlineStr">
        <is>
          <t>CORRECTO</t>
        </is>
      </c>
      <c r="AK22" s="2" t="inlineStr">
        <is>
          <t>C</t>
        </is>
      </c>
      <c r="AL22" s="4" t="inlineStr">
        <is>
          <t>INCORRECTO</t>
        </is>
      </c>
      <c r="AM22" s="5">
        <f>COUNTIF(J22:AL22,"CORRECTO")</f>
        <v/>
      </c>
      <c r="AN22" s="5">
        <f>COUNTIF(J22:AL22,"INCORRECTO")</f>
        <v/>
      </c>
      <c r="AO22" s="5" t="n">
        <v>15</v>
      </c>
      <c r="AP22" s="6">
        <f>AM22/AO22</f>
        <v/>
      </c>
    </row>
    <row r="23">
      <c r="A23" s="2" t="inlineStr"/>
      <c r="B23" s="2" t="inlineStr">
        <is>
          <t>111001012033</t>
        </is>
      </c>
      <c r="C23" s="2" t="inlineStr">
        <is>
          <t>COLEGIO VEINTE DE JULIO (IED)</t>
        </is>
      </c>
      <c r="D23" s="2" t="inlineStr">
        <is>
          <t>RONNIANGELIS VALERIA GUZMAN BARBERA</t>
        </is>
      </c>
      <c r="E23" s="2" t="inlineStr">
        <is>
          <t>820232182520</t>
        </is>
      </c>
      <c r="F23" s="2" t="n">
        <v>3</v>
      </c>
      <c r="G23" s="2" t="n">
        <v>302</v>
      </c>
      <c r="H23" s="2" t="inlineStr">
        <is>
          <t>LENGUAJE</t>
        </is>
      </c>
      <c r="I23" s="2" t="inlineStr">
        <is>
          <t>D</t>
        </is>
      </c>
      <c r="J23" s="4" t="inlineStr">
        <is>
          <t>INCORRECTO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D</t>
        </is>
      </c>
      <c r="N23" s="4" t="inlineStr">
        <is>
          <t>INCORRECTO</t>
        </is>
      </c>
      <c r="O23" s="2" t="inlineStr">
        <is>
          <t>B</t>
        </is>
      </c>
      <c r="P23" s="4" t="inlineStr">
        <is>
          <t>INCORRECTO</t>
        </is>
      </c>
      <c r="Q23" s="2" t="inlineStr">
        <is>
          <t>A</t>
        </is>
      </c>
      <c r="R23" s="4" t="inlineStr">
        <is>
          <t>INCORRECTO</t>
        </is>
      </c>
      <c r="S23" s="2" t="inlineStr"/>
      <c r="T23" s="4" t="inlineStr">
        <is>
          <t>INCORRECTO</t>
        </is>
      </c>
      <c r="U23" s="2" t="inlineStr">
        <is>
          <t>B</t>
        </is>
      </c>
      <c r="V23" s="4" t="inlineStr">
        <is>
          <t>INCORRECTO</t>
        </is>
      </c>
      <c r="W23" s="2" t="inlineStr">
        <is>
          <t>C</t>
        </is>
      </c>
      <c r="X23" s="3" t="inlineStr">
        <is>
          <t>CORRECTO</t>
        </is>
      </c>
      <c r="Y23" s="2" t="inlineStr"/>
      <c r="Z23" s="4" t="inlineStr">
        <is>
          <t>INCORRECTO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C</t>
        </is>
      </c>
      <c r="AD23" s="3" t="inlineStr">
        <is>
          <t>CORRECTO</t>
        </is>
      </c>
      <c r="AE23" s="2" t="inlineStr">
        <is>
          <t>B</t>
        </is>
      </c>
      <c r="AF23" s="3" t="inlineStr">
        <is>
          <t>CORRECTO</t>
        </is>
      </c>
      <c r="AG23" s="2" t="inlineStr">
        <is>
          <t>C</t>
        </is>
      </c>
      <c r="AH23" s="4" t="inlineStr">
        <is>
          <t>INCORRECTO</t>
        </is>
      </c>
      <c r="AI23" s="2" t="inlineStr">
        <is>
          <t>C</t>
        </is>
      </c>
      <c r="AJ23" s="4" t="inlineStr">
        <is>
          <t>INCORRECTO</t>
        </is>
      </c>
      <c r="AK23" s="2" t="inlineStr">
        <is>
          <t>B</t>
        </is>
      </c>
      <c r="AL23" s="4" t="inlineStr">
        <is>
          <t>INCORRECTO</t>
        </is>
      </c>
      <c r="AM23" s="5">
        <f>COUNTIF(J23:AL23,"CORRECTO")</f>
        <v/>
      </c>
      <c r="AN23" s="5">
        <f>COUNTIF(J23:AL23,"INCORRECTO")</f>
        <v/>
      </c>
      <c r="AO23" s="5" t="n">
        <v>15</v>
      </c>
      <c r="AP23" s="6">
        <f>AM23/AO23</f>
        <v/>
      </c>
    </row>
    <row r="24">
      <c r="A24" s="2" t="inlineStr"/>
      <c r="B24" s="2" t="inlineStr">
        <is>
          <t>111001012033</t>
        </is>
      </c>
      <c r="C24" s="2" t="inlineStr">
        <is>
          <t>COLEGIO VEINTE DE JULIO (IED)</t>
        </is>
      </c>
      <c r="D24" s="2" t="inlineStr">
        <is>
          <t>SAMANTHA SALAMANCA ROCHA</t>
        </is>
      </c>
      <c r="E24" s="2" t="inlineStr">
        <is>
          <t>1023976958</t>
        </is>
      </c>
      <c r="F24" s="2" t="n">
        <v>3</v>
      </c>
      <c r="G24" s="2" t="n">
        <v>302</v>
      </c>
      <c r="H24" s="2" t="inlineStr">
        <is>
          <t>MATEMÁTICAS</t>
        </is>
      </c>
      <c r="I24" s="2" t="inlineStr">
        <is>
          <t>D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D</t>
        </is>
      </c>
      <c r="P24" s="4" t="inlineStr">
        <is>
          <t>INCORRECTO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B</t>
        </is>
      </c>
      <c r="T24" s="4" t="inlineStr">
        <is>
          <t>INCORRECTO</t>
        </is>
      </c>
      <c r="U24" s="2" t="inlineStr">
        <is>
          <t>D</t>
        </is>
      </c>
      <c r="V24" s="4" t="inlineStr">
        <is>
          <t>INCORRECTO</t>
        </is>
      </c>
      <c r="W24" s="2" t="inlineStr">
        <is>
          <t>D</t>
        </is>
      </c>
      <c r="X24" s="3" t="inlineStr">
        <is>
          <t>CORRECTO</t>
        </is>
      </c>
      <c r="Y24" s="2" t="inlineStr">
        <is>
          <t>A</t>
        </is>
      </c>
      <c r="Z24" s="4" t="inlineStr">
        <is>
          <t>INCORRECTO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D</t>
        </is>
      </c>
      <c r="AF24" s="3" t="inlineStr">
        <is>
          <t>CORRECTO</t>
        </is>
      </c>
      <c r="AG24" s="2" t="inlineStr">
        <is>
          <t>B</t>
        </is>
      </c>
      <c r="AH24" s="4" t="inlineStr">
        <is>
          <t>INCORRECTO</t>
        </is>
      </c>
      <c r="AI24" s="2" t="inlineStr">
        <is>
          <t>D</t>
        </is>
      </c>
      <c r="AJ24" s="3" t="inlineStr">
        <is>
          <t>CORRECTO</t>
        </is>
      </c>
      <c r="AK24" s="2" t="inlineStr">
        <is>
          <t>C</t>
        </is>
      </c>
      <c r="AL24" s="4" t="inlineStr">
        <is>
          <t>INCORRECTO</t>
        </is>
      </c>
      <c r="AM24" s="5">
        <f>COUNTIF(J24:AL24,"CORRECTO")</f>
        <v/>
      </c>
      <c r="AN24" s="5">
        <f>COUNTIF(J24:AL24,"INCORRECTO")</f>
        <v/>
      </c>
      <c r="AO24" s="5" t="n">
        <v>15</v>
      </c>
      <c r="AP24" s="6">
        <f>AM24/AO24</f>
        <v/>
      </c>
    </row>
    <row r="25">
      <c r="A25" s="2" t="inlineStr"/>
      <c r="B25" s="2" t="inlineStr">
        <is>
          <t>111001012033</t>
        </is>
      </c>
      <c r="C25" s="2" t="inlineStr">
        <is>
          <t>COLEGIO VEINTE DE JULIO (IED)</t>
        </is>
      </c>
      <c r="D25" s="2" t="inlineStr">
        <is>
          <t>SAMANTHA SALAMANCA ROCHA</t>
        </is>
      </c>
      <c r="E25" s="2" t="inlineStr">
        <is>
          <t>1023976958</t>
        </is>
      </c>
      <c r="F25" s="2" t="n">
        <v>3</v>
      </c>
      <c r="G25" s="2" t="n">
        <v>302</v>
      </c>
      <c r="H25" s="2" t="inlineStr">
        <is>
          <t>LENGUAJE</t>
        </is>
      </c>
      <c r="I25" s="2" t="inlineStr">
        <is>
          <t>D</t>
        </is>
      </c>
      <c r="J25" s="4" t="inlineStr">
        <is>
          <t>INCORRECTO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B</t>
        </is>
      </c>
      <c r="N25" s="3" t="inlineStr">
        <is>
          <t>CORRECTO</t>
        </is>
      </c>
      <c r="O25" s="2" t="inlineStr">
        <is>
          <t>B</t>
        </is>
      </c>
      <c r="P25" s="4" t="inlineStr">
        <is>
          <t>INCORRECTO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C</t>
        </is>
      </c>
      <c r="T25" s="4" t="inlineStr">
        <is>
          <t>INCORRECTO</t>
        </is>
      </c>
      <c r="U25" s="2" t="inlineStr">
        <is>
          <t>B</t>
        </is>
      </c>
      <c r="V25" s="4" t="inlineStr">
        <is>
          <t>INCORRECTO</t>
        </is>
      </c>
      <c r="W25" s="2" t="inlineStr">
        <is>
          <t>C</t>
        </is>
      </c>
      <c r="X25" s="3" t="inlineStr">
        <is>
          <t>CORRECTO</t>
        </is>
      </c>
      <c r="Y25" s="2" t="inlineStr">
        <is>
          <t>C</t>
        </is>
      </c>
      <c r="Z25" s="4" t="inlineStr">
        <is>
          <t>INCORRECTO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C</t>
        </is>
      </c>
      <c r="AD25" s="3" t="inlineStr">
        <is>
          <t>CORRECTO</t>
        </is>
      </c>
      <c r="AE25" s="2" t="inlineStr">
        <is>
          <t>B</t>
        </is>
      </c>
      <c r="AF25" s="3" t="inlineStr">
        <is>
          <t>CORRECTO</t>
        </is>
      </c>
      <c r="AG25" s="2" t="inlineStr">
        <is>
          <t>C</t>
        </is>
      </c>
      <c r="AH25" s="4" t="inlineStr">
        <is>
          <t>INCORRECTO</t>
        </is>
      </c>
      <c r="AI25" s="2" t="inlineStr">
        <is>
          <t>C</t>
        </is>
      </c>
      <c r="AJ25" s="4" t="inlineStr">
        <is>
          <t>INCORRECTO</t>
        </is>
      </c>
      <c r="AK25" s="2" t="inlineStr">
        <is>
          <t>B</t>
        </is>
      </c>
      <c r="AL25" s="4" t="inlineStr">
        <is>
          <t>INCORRECTO</t>
        </is>
      </c>
      <c r="AM25" s="5">
        <f>COUNTIF(J25:AL25,"CORRECTO")</f>
        <v/>
      </c>
      <c r="AN25" s="5">
        <f>COUNTIF(J25:AL25,"INCORRECTO")</f>
        <v/>
      </c>
      <c r="AO25" s="5" t="n">
        <v>15</v>
      </c>
      <c r="AP25" s="6">
        <f>AM25/AO25</f>
        <v/>
      </c>
    </row>
    <row r="26">
      <c r="A26" s="2" t="inlineStr"/>
      <c r="B26" s="2" t="inlineStr">
        <is>
          <t>111001012033</t>
        </is>
      </c>
      <c r="C26" s="2" t="inlineStr">
        <is>
          <t>COLEGIO VEINTE DE JULIO (IED)</t>
        </is>
      </c>
      <c r="D26" s="2" t="inlineStr">
        <is>
          <t>KARELYS FERNANDA TORRES MARQUEZ</t>
        </is>
      </c>
      <c r="E26" s="2" t="inlineStr">
        <is>
          <t>1143172002</t>
        </is>
      </c>
      <c r="F26" s="2" t="n">
        <v>3</v>
      </c>
      <c r="G26" s="2" t="n">
        <v>302</v>
      </c>
      <c r="H26" s="2" t="inlineStr">
        <is>
          <t>MATEMÁTICAS</t>
        </is>
      </c>
      <c r="I26" s="2" t="inlineStr">
        <is>
          <t>D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D</t>
        </is>
      </c>
      <c r="P26" s="4" t="inlineStr">
        <is>
          <t>INCORRECTO</t>
        </is>
      </c>
      <c r="Q26" s="2" t="inlineStr">
        <is>
          <t>C</t>
        </is>
      </c>
      <c r="R26" s="4" t="inlineStr">
        <is>
          <t>INCORRECTO</t>
        </is>
      </c>
      <c r="S26" s="2" t="inlineStr">
        <is>
          <t>D</t>
        </is>
      </c>
      <c r="T26" s="4" t="inlineStr">
        <is>
          <t>INCORRECTO</t>
        </is>
      </c>
      <c r="U26" s="2" t="inlineStr">
        <is>
          <t>C</t>
        </is>
      </c>
      <c r="V26" s="4" t="inlineStr">
        <is>
          <t>INCORRECTO</t>
        </is>
      </c>
      <c r="W26" s="2" t="inlineStr">
        <is>
          <t>D</t>
        </is>
      </c>
      <c r="X26" s="3" t="inlineStr">
        <is>
          <t>CORRECTO</t>
        </is>
      </c>
      <c r="Y26" s="2" t="inlineStr">
        <is>
          <t>D</t>
        </is>
      </c>
      <c r="Z26" s="4" t="inlineStr">
        <is>
          <t>INCORRECTO</t>
        </is>
      </c>
      <c r="AA26" s="2" t="inlineStr">
        <is>
          <t>D</t>
        </is>
      </c>
      <c r="AB26" s="4" t="inlineStr">
        <is>
          <t>INCORRECTO</t>
        </is>
      </c>
      <c r="AC26" s="2" t="inlineStr">
        <is>
          <t>C</t>
        </is>
      </c>
      <c r="AD26" s="4" t="inlineStr">
        <is>
          <t>INCORRECTO</t>
        </is>
      </c>
      <c r="AE26" s="2" t="inlineStr">
        <is>
          <t>D</t>
        </is>
      </c>
      <c r="AF26" s="3" t="inlineStr">
        <is>
          <t>CORRECTO</t>
        </is>
      </c>
      <c r="AG26" s="2" t="inlineStr">
        <is>
          <t>B</t>
        </is>
      </c>
      <c r="AH26" s="4" t="inlineStr">
        <is>
          <t>INCORRECTO</t>
        </is>
      </c>
      <c r="AI26" s="2" t="inlineStr">
        <is>
          <t>D</t>
        </is>
      </c>
      <c r="AJ26" s="3" t="inlineStr">
        <is>
          <t>CORRECTO</t>
        </is>
      </c>
      <c r="AK26" s="2" t="inlineStr">
        <is>
          <t>C</t>
        </is>
      </c>
      <c r="AL26" s="4" t="inlineStr">
        <is>
          <t>INCORRECTO</t>
        </is>
      </c>
      <c r="AM26" s="5">
        <f>COUNTIF(J26:AL26,"CORRECTO")</f>
        <v/>
      </c>
      <c r="AN26" s="5">
        <f>COUNTIF(J26:AL26,"INCORRECTO")</f>
        <v/>
      </c>
      <c r="AO26" s="5" t="n">
        <v>15</v>
      </c>
      <c r="AP26" s="6">
        <f>AM26/AO26</f>
        <v/>
      </c>
    </row>
    <row r="27">
      <c r="A27" s="2" t="inlineStr"/>
      <c r="B27" s="2" t="inlineStr">
        <is>
          <t>111001012033</t>
        </is>
      </c>
      <c r="C27" s="2" t="inlineStr">
        <is>
          <t>COLEGIO VEINTE DE JULIO (IED)</t>
        </is>
      </c>
      <c r="D27" s="2" t="inlineStr">
        <is>
          <t>KARELYS FERNANDA TORRES MARQUEZ</t>
        </is>
      </c>
      <c r="E27" s="2" t="inlineStr">
        <is>
          <t>1143172002</t>
        </is>
      </c>
      <c r="F27" s="2" t="n">
        <v>3</v>
      </c>
      <c r="G27" s="2" t="n">
        <v>302</v>
      </c>
      <c r="H27" s="2" t="inlineStr">
        <is>
          <t>LENGUAJE</t>
        </is>
      </c>
      <c r="I27" s="2" t="inlineStr">
        <is>
          <t>A</t>
        </is>
      </c>
      <c r="J27" s="4" t="inlineStr">
        <is>
          <t>INCORRECTO</t>
        </is>
      </c>
      <c r="K27" s="2" t="inlineStr">
        <is>
          <t>D</t>
        </is>
      </c>
      <c r="L27" s="4" t="inlineStr">
        <is>
          <t>INCORRECTO</t>
        </is>
      </c>
      <c r="M27" s="2" t="inlineStr">
        <is>
          <t>D</t>
        </is>
      </c>
      <c r="N27" s="4" t="inlineStr">
        <is>
          <t>INCORRECTO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A</t>
        </is>
      </c>
      <c r="R27" s="4" t="inlineStr">
        <is>
          <t>INCORRECTO</t>
        </is>
      </c>
      <c r="S27" s="2" t="inlineStr">
        <is>
          <t>C</t>
        </is>
      </c>
      <c r="T27" s="4" t="inlineStr">
        <is>
          <t>INCORRECTO</t>
        </is>
      </c>
      <c r="U27" s="2" t="inlineStr">
        <is>
          <t>C</t>
        </is>
      </c>
      <c r="V27" s="3" t="inlineStr">
        <is>
          <t>CORRECTO</t>
        </is>
      </c>
      <c r="W27" s="2" t="inlineStr">
        <is>
          <t>B</t>
        </is>
      </c>
      <c r="X27" s="4" t="inlineStr">
        <is>
          <t>INCORRECTO</t>
        </is>
      </c>
      <c r="Y27" s="2" t="inlineStr">
        <is>
          <t>C</t>
        </is>
      </c>
      <c r="Z27" s="4" t="inlineStr">
        <is>
          <t>INCORRECTO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B</t>
        </is>
      </c>
      <c r="AD27" s="4" t="inlineStr">
        <is>
          <t>INCORRECTO</t>
        </is>
      </c>
      <c r="AE27" s="2" t="inlineStr">
        <is>
          <t>B</t>
        </is>
      </c>
      <c r="AF27" s="3" t="inlineStr">
        <is>
          <t>CORRECTO</t>
        </is>
      </c>
      <c r="AG27" s="2" t="inlineStr">
        <is>
          <t>C</t>
        </is>
      </c>
      <c r="AH27" s="4" t="inlineStr">
        <is>
          <t>INCORRECTO</t>
        </is>
      </c>
      <c r="AI27" s="2" t="inlineStr">
        <is>
          <t>D</t>
        </is>
      </c>
      <c r="AJ27" s="4" t="inlineStr">
        <is>
          <t>INCORRECTO</t>
        </is>
      </c>
      <c r="AK27" s="2" t="inlineStr">
        <is>
          <t>D</t>
        </is>
      </c>
      <c r="AL27" s="4" t="inlineStr">
        <is>
          <t>INCORRECTO</t>
        </is>
      </c>
      <c r="AM27" s="5">
        <f>COUNTIF(J27:AL27,"CORRECTO")</f>
        <v/>
      </c>
      <c r="AN27" s="5">
        <f>COUNTIF(J27:AL27,"INCORRECTO")</f>
        <v/>
      </c>
      <c r="AO27" s="5" t="n">
        <v>15</v>
      </c>
      <c r="AP27" s="6">
        <f>AM27/AO27</f>
        <v/>
      </c>
    </row>
    <row r="28">
      <c r="A28" s="2" t="inlineStr"/>
      <c r="B28" s="2" t="inlineStr">
        <is>
          <t>111001012033</t>
        </is>
      </c>
      <c r="C28" s="2" t="inlineStr">
        <is>
          <t>COLEGIO VEINTE DE JULIO (IED)</t>
        </is>
      </c>
      <c r="D28" s="2" t="inlineStr">
        <is>
          <t>SHARON ZARAY MARTINEZ BARRERA</t>
        </is>
      </c>
      <c r="E28" s="2" t="inlineStr">
        <is>
          <t>1011250589</t>
        </is>
      </c>
      <c r="F28" s="2" t="n">
        <v>3</v>
      </c>
      <c r="G28" s="2" t="n">
        <v>302</v>
      </c>
      <c r="H28" s="2" t="inlineStr">
        <is>
          <t>MATEMÁTICAS</t>
        </is>
      </c>
      <c r="I28" s="2" t="inlineStr">
        <is>
          <t>D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D</t>
        </is>
      </c>
      <c r="R28" s="4" t="inlineStr">
        <is>
          <t>INCORRECTO</t>
        </is>
      </c>
      <c r="S28" s="2" t="inlineStr">
        <is>
          <t>D</t>
        </is>
      </c>
      <c r="T28" s="4" t="inlineStr">
        <is>
          <t>INCORRECTO</t>
        </is>
      </c>
      <c r="U28" s="2" t="inlineStr">
        <is>
          <t>D</t>
        </is>
      </c>
      <c r="V28" s="4" t="inlineStr">
        <is>
          <t>INCORRECTO</t>
        </is>
      </c>
      <c r="W28" s="2" t="inlineStr">
        <is>
          <t>D</t>
        </is>
      </c>
      <c r="X28" s="3" t="inlineStr">
        <is>
          <t>CORRECTO</t>
        </is>
      </c>
      <c r="Y28" s="2" t="inlineStr">
        <is>
          <t>D</t>
        </is>
      </c>
      <c r="Z28" s="4" t="inlineStr">
        <is>
          <t>INCORRECTO</t>
        </is>
      </c>
      <c r="AA28" s="2" t="inlineStr">
        <is>
          <t>B</t>
        </is>
      </c>
      <c r="AB28" s="4" t="inlineStr">
        <is>
          <t>INCORRECTO</t>
        </is>
      </c>
      <c r="AC28" s="2" t="inlineStr">
        <is>
          <t>C</t>
        </is>
      </c>
      <c r="AD28" s="4" t="inlineStr">
        <is>
          <t>INCORRECTO</t>
        </is>
      </c>
      <c r="AE28" s="2" t="inlineStr">
        <is>
          <t>D</t>
        </is>
      </c>
      <c r="AF28" s="3" t="inlineStr">
        <is>
          <t>CORRECTO</t>
        </is>
      </c>
      <c r="AG28" s="2" t="inlineStr">
        <is>
          <t>B</t>
        </is>
      </c>
      <c r="AH28" s="4" t="inlineStr">
        <is>
          <t>INCORRECTO</t>
        </is>
      </c>
      <c r="AI28" s="2" t="inlineStr">
        <is>
          <t>D</t>
        </is>
      </c>
      <c r="AJ28" s="3" t="inlineStr">
        <is>
          <t>CORRECTO</t>
        </is>
      </c>
      <c r="AK28" s="2" t="inlineStr">
        <is>
          <t>C</t>
        </is>
      </c>
      <c r="AL28" s="4" t="inlineStr">
        <is>
          <t>INCORRECTO</t>
        </is>
      </c>
      <c r="AM28" s="5">
        <f>COUNTIF(J28:AL28,"CORRECTO")</f>
        <v/>
      </c>
      <c r="AN28" s="5">
        <f>COUNTIF(J28:AL28,"INCORRECTO")</f>
        <v/>
      </c>
      <c r="AO28" s="5" t="n">
        <v>15</v>
      </c>
      <c r="AP28" s="6">
        <f>AM28/AO28</f>
        <v/>
      </c>
    </row>
    <row r="29">
      <c r="A29" s="2" t="inlineStr"/>
      <c r="B29" s="2" t="inlineStr">
        <is>
          <t>111001012033</t>
        </is>
      </c>
      <c r="C29" s="2" t="inlineStr">
        <is>
          <t>COLEGIO VEINTE DE JULIO (IED)</t>
        </is>
      </c>
      <c r="D29" s="2" t="inlineStr">
        <is>
          <t>SHARON ZARAY MARTINEZ BARRERA</t>
        </is>
      </c>
      <c r="E29" s="2" t="inlineStr">
        <is>
          <t>1011250589</t>
        </is>
      </c>
      <c r="F29" s="2" t="n">
        <v>3</v>
      </c>
      <c r="G29" s="2" t="n">
        <v>302</v>
      </c>
      <c r="H29" s="2" t="inlineStr">
        <is>
          <t>LENGUAJE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C</t>
        </is>
      </c>
      <c r="L29" s="4" t="inlineStr">
        <is>
          <t>INCORRECTO</t>
        </is>
      </c>
      <c r="M29" s="2" t="inlineStr">
        <is>
          <t>D</t>
        </is>
      </c>
      <c r="N29" s="4" t="inlineStr">
        <is>
          <t>INCORRECTO</t>
        </is>
      </c>
      <c r="O29" s="2" t="inlineStr">
        <is>
          <t>A</t>
        </is>
      </c>
      <c r="P29" s="4" t="inlineStr">
        <is>
          <t>INCORRECTO</t>
        </is>
      </c>
      <c r="Q29" s="2" t="inlineStr">
        <is>
          <t>D</t>
        </is>
      </c>
      <c r="R29" s="4" t="inlineStr">
        <is>
          <t>INCORRECTO</t>
        </is>
      </c>
      <c r="S29" s="2" t="inlineStr">
        <is>
          <t>C</t>
        </is>
      </c>
      <c r="T29" s="4" t="inlineStr">
        <is>
          <t>INCORRECTO</t>
        </is>
      </c>
      <c r="U29" s="2" t="inlineStr">
        <is>
          <t>B</t>
        </is>
      </c>
      <c r="V29" s="4" t="inlineStr">
        <is>
          <t>INCORRECTO</t>
        </is>
      </c>
      <c r="W29" s="2" t="inlineStr">
        <is>
          <t>C</t>
        </is>
      </c>
      <c r="X29" s="3" t="inlineStr">
        <is>
          <t>CORRECTO</t>
        </is>
      </c>
      <c r="Y29" s="2" t="inlineStr">
        <is>
          <t>C</t>
        </is>
      </c>
      <c r="Z29" s="4" t="inlineStr">
        <is>
          <t>INCORRECTO</t>
        </is>
      </c>
      <c r="AA29" s="2" t="inlineStr">
        <is>
          <t>C</t>
        </is>
      </c>
      <c r="AB29" s="3" t="inlineStr">
        <is>
          <t>CORRECTO</t>
        </is>
      </c>
      <c r="AC29" s="2" t="inlineStr">
        <is>
          <t>C</t>
        </is>
      </c>
      <c r="AD29" s="3" t="inlineStr">
        <is>
          <t>CORRECTO</t>
        </is>
      </c>
      <c r="AE29" s="2" t="inlineStr">
        <is>
          <t>B</t>
        </is>
      </c>
      <c r="AF29" s="3" t="inlineStr">
        <is>
          <t>CORRECTO</t>
        </is>
      </c>
      <c r="AG29" s="2" t="inlineStr">
        <is>
          <t>C</t>
        </is>
      </c>
      <c r="AH29" s="4" t="inlineStr">
        <is>
          <t>INCORRECTO</t>
        </is>
      </c>
      <c r="AI29" s="2" t="inlineStr">
        <is>
          <t>D</t>
        </is>
      </c>
      <c r="AJ29" s="4" t="inlineStr">
        <is>
          <t>INCORRECTO</t>
        </is>
      </c>
      <c r="AK29" s="2" t="inlineStr">
        <is>
          <t>D</t>
        </is>
      </c>
      <c r="AL29" s="4" t="inlineStr">
        <is>
          <t>INCORRECTO</t>
        </is>
      </c>
      <c r="AM29" s="5">
        <f>COUNTIF(J29:AL29,"CORRECTO")</f>
        <v/>
      </c>
      <c r="AN29" s="5">
        <f>COUNTIF(J29:AL29,"INCORRECTO")</f>
        <v/>
      </c>
      <c r="AO29" s="5" t="n">
        <v>15</v>
      </c>
      <c r="AP29" s="6">
        <f>AM29/AO29</f>
        <v/>
      </c>
    </row>
    <row r="30">
      <c r="A30" s="2" t="inlineStr"/>
      <c r="B30" s="2" t="inlineStr">
        <is>
          <t>111001012033</t>
        </is>
      </c>
      <c r="C30" s="2" t="inlineStr">
        <is>
          <t>COLEGIO VEINTE DE JULIO (IED)</t>
        </is>
      </c>
      <c r="D30" s="2" t="inlineStr">
        <is>
          <t>JEIMMY VALENTINA NARANJO TORRES</t>
        </is>
      </c>
      <c r="E30" s="2" t="inlineStr">
        <is>
          <t>1023974801</t>
        </is>
      </c>
      <c r="F30" s="2" t="n">
        <v>3</v>
      </c>
      <c r="G30" s="2" t="n">
        <v>302</v>
      </c>
      <c r="H30" s="2" t="inlineStr">
        <is>
          <t>MATEMÁTICAS</t>
        </is>
      </c>
      <c r="I30" s="2" t="inlineStr">
        <is>
          <t>D</t>
        </is>
      </c>
      <c r="J30" s="3" t="inlineStr">
        <is>
          <t>CORRECTO</t>
        </is>
      </c>
      <c r="K30" s="2" t="inlineStr">
        <is>
          <t>A</t>
        </is>
      </c>
      <c r="L30" s="4" t="inlineStr">
        <is>
          <t>INCORRECTO</t>
        </is>
      </c>
      <c r="M30" s="2" t="inlineStr">
        <is>
          <t>A</t>
        </is>
      </c>
      <c r="N30" s="4" t="inlineStr">
        <is>
          <t>INCORRECTO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D</t>
        </is>
      </c>
      <c r="T30" s="4" t="inlineStr">
        <is>
          <t>INCORRECTO</t>
        </is>
      </c>
      <c r="U30" s="2" t="inlineStr">
        <is>
          <t>D</t>
        </is>
      </c>
      <c r="V30" s="4" t="inlineStr">
        <is>
          <t>INCORRECTO</t>
        </is>
      </c>
      <c r="W30" s="2" t="inlineStr">
        <is>
          <t>C</t>
        </is>
      </c>
      <c r="X30" s="4" t="inlineStr">
        <is>
          <t>INCORRECTO</t>
        </is>
      </c>
      <c r="Y30" s="2" t="inlineStr">
        <is>
          <t>D</t>
        </is>
      </c>
      <c r="Z30" s="4" t="inlineStr">
        <is>
          <t>INCORRECTO</t>
        </is>
      </c>
      <c r="AA30" s="2" t="inlineStr">
        <is>
          <t>B</t>
        </is>
      </c>
      <c r="AB30" s="4" t="inlineStr">
        <is>
          <t>INCORRECTO</t>
        </is>
      </c>
      <c r="AC30" s="2" t="inlineStr">
        <is>
          <t>B</t>
        </is>
      </c>
      <c r="AD30" s="4" t="inlineStr">
        <is>
          <t>INCORRECTO</t>
        </is>
      </c>
      <c r="AE30" s="2" t="inlineStr">
        <is>
          <t>C</t>
        </is>
      </c>
      <c r="AF30" s="4" t="inlineStr">
        <is>
          <t>INCORRECTO</t>
        </is>
      </c>
      <c r="AG30" s="2" t="inlineStr">
        <is>
          <t>B</t>
        </is>
      </c>
      <c r="AH30" s="4" t="inlineStr">
        <is>
          <t>INCORRECTO</t>
        </is>
      </c>
      <c r="AI30" s="2" t="inlineStr">
        <is>
          <t>B</t>
        </is>
      </c>
      <c r="AJ30" s="4" t="inlineStr">
        <is>
          <t>INCORRECTO</t>
        </is>
      </c>
      <c r="AK30" s="2" t="inlineStr">
        <is>
          <t>C</t>
        </is>
      </c>
      <c r="AL30" s="4" t="inlineStr">
        <is>
          <t>INCORRECTO</t>
        </is>
      </c>
      <c r="AM30" s="5">
        <f>COUNTIF(J30:AL30,"CORRECTO")</f>
        <v/>
      </c>
      <c r="AN30" s="5">
        <f>COUNTIF(J30:AL30,"INCORRECTO")</f>
        <v/>
      </c>
      <c r="AO30" s="5" t="n">
        <v>15</v>
      </c>
      <c r="AP30" s="6">
        <f>AM30/AO30</f>
        <v/>
      </c>
    </row>
    <row r="31">
      <c r="A31" s="2" t="inlineStr"/>
      <c r="B31" s="2" t="inlineStr">
        <is>
          <t>111001012033</t>
        </is>
      </c>
      <c r="C31" s="2" t="inlineStr">
        <is>
          <t>COLEGIO VEINTE DE JULIO (IED)</t>
        </is>
      </c>
      <c r="D31" s="2" t="inlineStr">
        <is>
          <t>JEIMMY VALENTINA NARANJO TORRES</t>
        </is>
      </c>
      <c r="E31" s="2" t="inlineStr">
        <is>
          <t>1023974801</t>
        </is>
      </c>
      <c r="F31" s="2" t="n">
        <v>3</v>
      </c>
      <c r="G31" s="2" t="n">
        <v>302</v>
      </c>
      <c r="H31" s="2" t="inlineStr">
        <is>
          <t>LENGUAJE</t>
        </is>
      </c>
      <c r="I31" s="2" t="inlineStr">
        <is>
          <t>A</t>
        </is>
      </c>
      <c r="J31" s="4" t="inlineStr">
        <is>
          <t>INCORRECTO</t>
        </is>
      </c>
      <c r="K31" s="2" t="inlineStr">
        <is>
          <t>C</t>
        </is>
      </c>
      <c r="L31" s="4" t="inlineStr">
        <is>
          <t>INCORRECTO</t>
        </is>
      </c>
      <c r="M31" s="2" t="inlineStr">
        <is>
          <t>A</t>
        </is>
      </c>
      <c r="N31" s="4" t="inlineStr">
        <is>
          <t>INCORRECTO</t>
        </is>
      </c>
      <c r="O31" s="2" t="inlineStr">
        <is>
          <t>A</t>
        </is>
      </c>
      <c r="P31" s="4" t="inlineStr">
        <is>
          <t>INCORRECTO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C</t>
        </is>
      </c>
      <c r="T31" s="4" t="inlineStr">
        <is>
          <t>INCORRECTO</t>
        </is>
      </c>
      <c r="U31" s="2" t="inlineStr">
        <is>
          <t>B</t>
        </is>
      </c>
      <c r="V31" s="4" t="inlineStr">
        <is>
          <t>INCORRECTO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C</t>
        </is>
      </c>
      <c r="Z31" s="4" t="inlineStr">
        <is>
          <t>INCORRECTO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B</t>
        </is>
      </c>
      <c r="AD31" s="4" t="inlineStr">
        <is>
          <t>INCORRECTO</t>
        </is>
      </c>
      <c r="AE31" s="2" t="inlineStr">
        <is>
          <t>A</t>
        </is>
      </c>
      <c r="AF31" s="4" t="inlineStr">
        <is>
          <t>INCORRECTO</t>
        </is>
      </c>
      <c r="AG31" s="2" t="inlineStr">
        <is>
          <t>B</t>
        </is>
      </c>
      <c r="AH31" s="4" t="inlineStr">
        <is>
          <t>INCORRECTO</t>
        </is>
      </c>
      <c r="AI31" s="2" t="inlineStr">
        <is>
          <t>A</t>
        </is>
      </c>
      <c r="AJ31" s="4" t="inlineStr">
        <is>
          <t>INCORRECTO</t>
        </is>
      </c>
      <c r="AK31" s="2" t="inlineStr">
        <is>
          <t>C</t>
        </is>
      </c>
      <c r="AL31" s="4" t="inlineStr">
        <is>
          <t>INCORRECTO</t>
        </is>
      </c>
      <c r="AM31" s="5">
        <f>COUNTIF(J31:AL31,"CORRECTO")</f>
        <v/>
      </c>
      <c r="AN31" s="5">
        <f>COUNTIF(J31:AL31,"INCORRECTO")</f>
        <v/>
      </c>
      <c r="AO31" s="5" t="n">
        <v>15</v>
      </c>
      <c r="AP31" s="6">
        <f>AM31/AO31</f>
        <v/>
      </c>
    </row>
    <row r="32">
      <c r="A32" s="2" t="inlineStr"/>
      <c r="B32" s="2" t="inlineStr">
        <is>
          <t>111001012033</t>
        </is>
      </c>
      <c r="C32" s="2" t="inlineStr">
        <is>
          <t>COLEGIO VEINTE DE JULIO (IED)</t>
        </is>
      </c>
      <c r="D32" s="2" t="inlineStr">
        <is>
          <t>ALISSON DAYANA GUAPACHO FINO</t>
        </is>
      </c>
      <c r="E32" s="2" t="inlineStr">
        <is>
          <t>1028673393</t>
        </is>
      </c>
      <c r="F32" s="2" t="n">
        <v>3</v>
      </c>
      <c r="G32" s="2" t="n">
        <v>302</v>
      </c>
      <c r="H32" s="2" t="inlineStr">
        <is>
          <t>MATEMÁTICAS</t>
        </is>
      </c>
      <c r="I32" s="2" t="inlineStr">
        <is>
          <t>D</t>
        </is>
      </c>
      <c r="J32" s="3" t="inlineStr">
        <is>
          <t>CORRECTO</t>
        </is>
      </c>
      <c r="K32" s="2" t="inlineStr">
        <is>
          <t>C</t>
        </is>
      </c>
      <c r="L32" s="4" t="inlineStr">
        <is>
          <t>INCORRECTO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B</t>
        </is>
      </c>
      <c r="P32" s="4" t="inlineStr">
        <is>
          <t>INCORRECTO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B</t>
        </is>
      </c>
      <c r="T32" s="4" t="inlineStr">
        <is>
          <t>INCORRECTO</t>
        </is>
      </c>
      <c r="U32" s="2" t="inlineStr">
        <is>
          <t>D</t>
        </is>
      </c>
      <c r="V32" s="4" t="inlineStr">
        <is>
          <t>INCORRECTO</t>
        </is>
      </c>
      <c r="W32" s="2" t="inlineStr">
        <is>
          <t>A</t>
        </is>
      </c>
      <c r="X32" s="4" t="inlineStr">
        <is>
          <t>INCORRECTO</t>
        </is>
      </c>
      <c r="Y32" s="2" t="inlineStr">
        <is>
          <t>A</t>
        </is>
      </c>
      <c r="Z32" s="4" t="inlineStr">
        <is>
          <t>INCORRECTO</t>
        </is>
      </c>
      <c r="AA32" s="2" t="inlineStr">
        <is>
          <t>D</t>
        </is>
      </c>
      <c r="AB32" s="4" t="inlineStr">
        <is>
          <t>INCORRECTO</t>
        </is>
      </c>
      <c r="AC32" s="2" t="inlineStr">
        <is>
          <t>C</t>
        </is>
      </c>
      <c r="AD32" s="4" t="inlineStr">
        <is>
          <t>INCORRECTO</t>
        </is>
      </c>
      <c r="AE32" s="2" t="inlineStr">
        <is>
          <t>D</t>
        </is>
      </c>
      <c r="AF32" s="3" t="inlineStr">
        <is>
          <t>CORRECTO</t>
        </is>
      </c>
      <c r="AG32" s="2" t="inlineStr">
        <is>
          <t>B</t>
        </is>
      </c>
      <c r="AH32" s="4" t="inlineStr">
        <is>
          <t>INCORRECTO</t>
        </is>
      </c>
      <c r="AI32" s="2" t="inlineStr">
        <is>
          <t>D</t>
        </is>
      </c>
      <c r="AJ32" s="3" t="inlineStr">
        <is>
          <t>CORRECTO</t>
        </is>
      </c>
      <c r="AK32" s="2" t="inlineStr">
        <is>
          <t>C</t>
        </is>
      </c>
      <c r="AL32" s="4" t="inlineStr">
        <is>
          <t>INCORRECTO</t>
        </is>
      </c>
      <c r="AM32" s="5">
        <f>COUNTIF(J32:AL32,"CORRECTO")</f>
        <v/>
      </c>
      <c r="AN32" s="5">
        <f>COUNTIF(J32:AL32,"INCORRECTO")</f>
        <v/>
      </c>
      <c r="AO32" s="5" t="n">
        <v>15</v>
      </c>
      <c r="AP32" s="6">
        <f>AM32/AO32</f>
        <v/>
      </c>
    </row>
    <row r="33">
      <c r="A33" s="2" t="inlineStr"/>
      <c r="B33" s="2" t="inlineStr">
        <is>
          <t>111001012033</t>
        </is>
      </c>
      <c r="C33" s="2" t="inlineStr">
        <is>
          <t>COLEGIO VEINTE DE JULIO (IED)</t>
        </is>
      </c>
      <c r="D33" s="2" t="inlineStr">
        <is>
          <t>ALISSON DAYANA GUAPACHO FINO</t>
        </is>
      </c>
      <c r="E33" s="2" t="inlineStr">
        <is>
          <t>1028673393</t>
        </is>
      </c>
      <c r="F33" s="2" t="n">
        <v>3</v>
      </c>
      <c r="G33" s="2" t="n">
        <v>302</v>
      </c>
      <c r="H33" s="2" t="inlineStr">
        <is>
          <t>LENGUAJE</t>
        </is>
      </c>
      <c r="I33" s="2" t="inlineStr">
        <is>
          <t>C</t>
        </is>
      </c>
      <c r="J33" s="4" t="inlineStr">
        <is>
          <t>INCORRECTO</t>
        </is>
      </c>
      <c r="K33" s="2" t="inlineStr">
        <is>
          <t>C</t>
        </is>
      </c>
      <c r="L33" s="4" t="inlineStr">
        <is>
          <t>INCORRECTO</t>
        </is>
      </c>
      <c r="M33" s="2" t="inlineStr">
        <is>
          <t>A</t>
        </is>
      </c>
      <c r="N33" s="4" t="inlineStr">
        <is>
          <t>INCORRECTO</t>
        </is>
      </c>
      <c r="O33" s="2" t="inlineStr">
        <is>
          <t>A</t>
        </is>
      </c>
      <c r="P33" s="4" t="inlineStr">
        <is>
          <t>INCORRECTO</t>
        </is>
      </c>
      <c r="Q33" s="2" t="inlineStr">
        <is>
          <t>D</t>
        </is>
      </c>
      <c r="R33" s="4" t="inlineStr">
        <is>
          <t>INCORRECTO</t>
        </is>
      </c>
      <c r="S33" s="2" t="inlineStr">
        <is>
          <t>C</t>
        </is>
      </c>
      <c r="T33" s="4" t="inlineStr">
        <is>
          <t>INCORRECTO</t>
        </is>
      </c>
      <c r="U33" s="2" t="inlineStr">
        <is>
          <t>B</t>
        </is>
      </c>
      <c r="V33" s="4" t="inlineStr">
        <is>
          <t>INCORRECTO</t>
        </is>
      </c>
      <c r="W33" s="2" t="inlineStr">
        <is>
          <t>C</t>
        </is>
      </c>
      <c r="X33" s="3" t="inlineStr">
        <is>
          <t>CORRECTO</t>
        </is>
      </c>
      <c r="Y33" s="2" t="inlineStr">
        <is>
          <t>C</t>
        </is>
      </c>
      <c r="Z33" s="4" t="inlineStr">
        <is>
          <t>INCORRECTO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B</t>
        </is>
      </c>
      <c r="AD33" s="4" t="inlineStr">
        <is>
          <t>INCORRECTO</t>
        </is>
      </c>
      <c r="AE33" s="2" t="inlineStr">
        <is>
          <t>B</t>
        </is>
      </c>
      <c r="AF33" s="3" t="inlineStr">
        <is>
          <t>CORRECTO</t>
        </is>
      </c>
      <c r="AG33" s="2" t="inlineStr">
        <is>
          <t>C</t>
        </is>
      </c>
      <c r="AH33" s="4" t="inlineStr">
        <is>
          <t>INCORRECTO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D</t>
        </is>
      </c>
      <c r="AL33" s="4" t="inlineStr">
        <is>
          <t>INCORRECTO</t>
        </is>
      </c>
      <c r="AM33" s="5">
        <f>COUNTIF(J33:AL33,"CORRECTO")</f>
        <v/>
      </c>
      <c r="AN33" s="5">
        <f>COUNTIF(J33:AL33,"INCORRECTO")</f>
        <v/>
      </c>
      <c r="AO33" s="5" t="n">
        <v>15</v>
      </c>
      <c r="AP33" s="6">
        <f>AM33/AO33</f>
        <v/>
      </c>
    </row>
    <row r="34">
      <c r="A34" s="2" t="inlineStr"/>
      <c r="B34" s="2" t="inlineStr">
        <is>
          <t>111001012033</t>
        </is>
      </c>
      <c r="C34" s="2" t="inlineStr">
        <is>
          <t>COLEGIO VEINTE DE JULIO (IED)</t>
        </is>
      </c>
      <c r="D34" s="2" t="inlineStr">
        <is>
          <t>YILDER SNEIDER SIERRA FLOREZ</t>
        </is>
      </c>
      <c r="E34" s="2" t="inlineStr">
        <is>
          <t>1092465362</t>
        </is>
      </c>
      <c r="F34" s="2" t="n">
        <v>3</v>
      </c>
      <c r="G34" s="2" t="n">
        <v>302</v>
      </c>
      <c r="H34" s="2" t="inlineStr">
        <is>
          <t>MATEMÁTICAS</t>
        </is>
      </c>
      <c r="I34" s="2" t="inlineStr">
        <is>
          <t>D</t>
        </is>
      </c>
      <c r="J34" s="3" t="inlineStr">
        <is>
          <t>CORRECTO</t>
        </is>
      </c>
      <c r="K34" s="2" t="inlineStr">
        <is>
          <t>C</t>
        </is>
      </c>
      <c r="L34" s="4" t="inlineStr">
        <is>
          <t>INCORRECTO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D</t>
        </is>
      </c>
      <c r="T34" s="4" t="inlineStr">
        <is>
          <t>INCORRECTO</t>
        </is>
      </c>
      <c r="U34" s="2" t="inlineStr">
        <is>
          <t>A</t>
        </is>
      </c>
      <c r="V34" s="4" t="inlineStr">
        <is>
          <t>INCORRECTO</t>
        </is>
      </c>
      <c r="W34" s="2" t="inlineStr">
        <is>
          <t>B</t>
        </is>
      </c>
      <c r="X34" s="4" t="inlineStr">
        <is>
          <t>INCORRECTO</t>
        </is>
      </c>
      <c r="Y34" s="2" t="inlineStr">
        <is>
          <t>D</t>
        </is>
      </c>
      <c r="Z34" s="4" t="inlineStr">
        <is>
          <t>INCORRECTO</t>
        </is>
      </c>
      <c r="AA34" s="2" t="inlineStr">
        <is>
          <t>B</t>
        </is>
      </c>
      <c r="AB34" s="4" t="inlineStr">
        <is>
          <t>INCORRECTO</t>
        </is>
      </c>
      <c r="AC34" s="2" t="inlineStr">
        <is>
          <t>C</t>
        </is>
      </c>
      <c r="AD34" s="4" t="inlineStr">
        <is>
          <t>INCORRECTO</t>
        </is>
      </c>
      <c r="AE34" s="2" t="inlineStr">
        <is>
          <t>D</t>
        </is>
      </c>
      <c r="AF34" s="3" t="inlineStr">
        <is>
          <t>CORRECTO</t>
        </is>
      </c>
      <c r="AG34" s="2" t="inlineStr">
        <is>
          <t>B</t>
        </is>
      </c>
      <c r="AH34" s="4" t="inlineStr">
        <is>
          <t>INCORRECTO</t>
        </is>
      </c>
      <c r="AI34" s="2" t="inlineStr">
        <is>
          <t>B</t>
        </is>
      </c>
      <c r="AJ34" s="4" t="inlineStr">
        <is>
          <t>INCORRECTO</t>
        </is>
      </c>
      <c r="AK34" s="2" t="inlineStr">
        <is>
          <t>C</t>
        </is>
      </c>
      <c r="AL34" s="4" t="inlineStr">
        <is>
          <t>INCORRECTO</t>
        </is>
      </c>
      <c r="AM34" s="5">
        <f>COUNTIF(J34:AL34,"CORRECTO")</f>
        <v/>
      </c>
      <c r="AN34" s="5">
        <f>COUNTIF(J34:AL34,"INCORRECTO")</f>
        <v/>
      </c>
      <c r="AO34" s="5" t="n">
        <v>15</v>
      </c>
      <c r="AP34" s="6">
        <f>AM34/AO34</f>
        <v/>
      </c>
    </row>
    <row r="35">
      <c r="A35" s="2" t="inlineStr"/>
      <c r="B35" s="2" t="inlineStr">
        <is>
          <t>111001012033</t>
        </is>
      </c>
      <c r="C35" s="2" t="inlineStr">
        <is>
          <t>COLEGIO VEINTE DE JULIO (IED)</t>
        </is>
      </c>
      <c r="D35" s="2" t="inlineStr">
        <is>
          <t>YILDER SNEIDER SIERRA FLOREZ</t>
        </is>
      </c>
      <c r="E35" s="2" t="inlineStr">
        <is>
          <t>1092465362</t>
        </is>
      </c>
      <c r="F35" s="2" t="n">
        <v>3</v>
      </c>
      <c r="G35" s="2" t="n">
        <v>302</v>
      </c>
      <c r="H35" s="2" t="inlineStr">
        <is>
          <t>LENGUAJE</t>
        </is>
      </c>
      <c r="I35" s="2" t="inlineStr">
        <is>
          <t>A</t>
        </is>
      </c>
      <c r="J35" s="4" t="inlineStr">
        <is>
          <t>INCORRECTO</t>
        </is>
      </c>
      <c r="K35" s="2" t="inlineStr">
        <is>
          <t>A</t>
        </is>
      </c>
      <c r="L35" s="4" t="inlineStr">
        <is>
          <t>INCORRECTO</t>
        </is>
      </c>
      <c r="M35" s="2" t="inlineStr">
        <is>
          <t>D</t>
        </is>
      </c>
      <c r="N35" s="4" t="inlineStr">
        <is>
          <t>INCORRECTO</t>
        </is>
      </c>
      <c r="O35" s="2" t="inlineStr">
        <is>
          <t>A</t>
        </is>
      </c>
      <c r="P35" s="4" t="inlineStr">
        <is>
          <t>INCORRECTO</t>
        </is>
      </c>
      <c r="Q35" s="2" t="inlineStr">
        <is>
          <t>C</t>
        </is>
      </c>
      <c r="R35" s="3" t="inlineStr">
        <is>
          <t>CORRECTO</t>
        </is>
      </c>
      <c r="S35" s="2" t="inlineStr">
        <is>
          <t>C</t>
        </is>
      </c>
      <c r="T35" s="4" t="inlineStr">
        <is>
          <t>INCORRECTO</t>
        </is>
      </c>
      <c r="U35" s="2" t="inlineStr">
        <is>
          <t>B</t>
        </is>
      </c>
      <c r="V35" s="4" t="inlineStr">
        <is>
          <t>INCORRECTO</t>
        </is>
      </c>
      <c r="W35" s="2" t="inlineStr">
        <is>
          <t>C</t>
        </is>
      </c>
      <c r="X35" s="3" t="inlineStr">
        <is>
          <t>CORRECTO</t>
        </is>
      </c>
      <c r="Y35" s="2" t="inlineStr">
        <is>
          <t>C</t>
        </is>
      </c>
      <c r="Z35" s="4" t="inlineStr">
        <is>
          <t>INCORRECTO</t>
        </is>
      </c>
      <c r="AA35" s="2" t="inlineStr">
        <is>
          <t>C</t>
        </is>
      </c>
      <c r="AB35" s="3" t="inlineStr">
        <is>
          <t>CORRECTO</t>
        </is>
      </c>
      <c r="AC35" s="2" t="inlineStr">
        <is>
          <t>A</t>
        </is>
      </c>
      <c r="AD35" s="4" t="inlineStr">
        <is>
          <t>INCORRECTO</t>
        </is>
      </c>
      <c r="AE35" s="2" t="inlineStr">
        <is>
          <t>B</t>
        </is>
      </c>
      <c r="AF35" s="3" t="inlineStr">
        <is>
          <t>CORRECTO</t>
        </is>
      </c>
      <c r="AG35" s="2" t="inlineStr">
        <is>
          <t>C</t>
        </is>
      </c>
      <c r="AH35" s="4" t="inlineStr">
        <is>
          <t>INCORRECTO</t>
        </is>
      </c>
      <c r="AI35" s="2" t="inlineStr">
        <is>
          <t>A</t>
        </is>
      </c>
      <c r="AJ35" s="4" t="inlineStr">
        <is>
          <t>INCORRECTO</t>
        </is>
      </c>
      <c r="AK35" s="2" t="inlineStr">
        <is>
          <t>D</t>
        </is>
      </c>
      <c r="AL35" s="4" t="inlineStr">
        <is>
          <t>INCORRECTO</t>
        </is>
      </c>
      <c r="AM35" s="5">
        <f>COUNTIF(J35:AL35,"CORRECTO")</f>
        <v/>
      </c>
      <c r="AN35" s="5">
        <f>COUNTIF(J35:AL35,"INCORRECTO")</f>
        <v/>
      </c>
      <c r="AO35" s="5" t="n">
        <v>15</v>
      </c>
      <c r="AP35" s="6">
        <f>AM35/AO35</f>
        <v/>
      </c>
    </row>
    <row r="36">
      <c r="A36" s="2" t="inlineStr"/>
      <c r="B36" s="2" t="inlineStr">
        <is>
          <t>111001012033</t>
        </is>
      </c>
      <c r="C36" s="2" t="inlineStr">
        <is>
          <t>COLEGIO VEINTE DE JULIO (IED)</t>
        </is>
      </c>
      <c r="D36" s="2" t="inlineStr">
        <is>
          <t>SHARLETH LAMBIS SUAREZ</t>
        </is>
      </c>
      <c r="E36" s="2" t="inlineStr">
        <is>
          <t>1043703813</t>
        </is>
      </c>
      <c r="F36" s="2" t="n">
        <v>3</v>
      </c>
      <c r="G36" s="2" t="n">
        <v>302</v>
      </c>
      <c r="H36" s="2" t="inlineStr">
        <is>
          <t>MATEMÁTICAS</t>
        </is>
      </c>
      <c r="I36" s="2" t="inlineStr">
        <is>
          <t>D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C</t>
        </is>
      </c>
      <c r="R36" s="4" t="inlineStr">
        <is>
          <t>INCORRECTO</t>
        </is>
      </c>
      <c r="S36" s="2" t="inlineStr">
        <is>
          <t>D</t>
        </is>
      </c>
      <c r="T36" s="4" t="inlineStr">
        <is>
          <t>INCORRECTO</t>
        </is>
      </c>
      <c r="U36" s="2" t="inlineStr">
        <is>
          <t>D</t>
        </is>
      </c>
      <c r="V36" s="4" t="inlineStr">
        <is>
          <t>INCORRECTO</t>
        </is>
      </c>
      <c r="W36" s="2" t="inlineStr">
        <is>
          <t>D</t>
        </is>
      </c>
      <c r="X36" s="3" t="inlineStr">
        <is>
          <t>CORRECTO</t>
        </is>
      </c>
      <c r="Y36" s="2" t="inlineStr">
        <is>
          <t>D</t>
        </is>
      </c>
      <c r="Z36" s="4" t="inlineStr">
        <is>
          <t>INCORRECTO</t>
        </is>
      </c>
      <c r="AA36" s="2" t="inlineStr">
        <is>
          <t>D</t>
        </is>
      </c>
      <c r="AB36" s="4" t="inlineStr">
        <is>
          <t>INCORRECTO</t>
        </is>
      </c>
      <c r="AC36" s="2" t="inlineStr">
        <is>
          <t>C</t>
        </is>
      </c>
      <c r="AD36" s="4" t="inlineStr">
        <is>
          <t>INCORRECTO</t>
        </is>
      </c>
      <c r="AE36" s="2" t="inlineStr">
        <is>
          <t>D</t>
        </is>
      </c>
      <c r="AF36" s="3" t="inlineStr">
        <is>
          <t>CORRECTO</t>
        </is>
      </c>
      <c r="AG36" s="2" t="inlineStr">
        <is>
          <t>B</t>
        </is>
      </c>
      <c r="AH36" s="4" t="inlineStr">
        <is>
          <t>INCORRECTO</t>
        </is>
      </c>
      <c r="AI36" s="2" t="inlineStr">
        <is>
          <t>B</t>
        </is>
      </c>
      <c r="AJ36" s="4" t="inlineStr">
        <is>
          <t>INCORRECTO</t>
        </is>
      </c>
      <c r="AK36" s="2" t="inlineStr">
        <is>
          <t>B</t>
        </is>
      </c>
      <c r="AL36" s="4" t="inlineStr">
        <is>
          <t>INCORRECTO</t>
        </is>
      </c>
      <c r="AM36" s="5">
        <f>COUNTIF(J36:AL36,"CORRECTO")</f>
        <v/>
      </c>
      <c r="AN36" s="5">
        <f>COUNTIF(J36:AL36,"INCORRECTO")</f>
        <v/>
      </c>
      <c r="AO36" s="5" t="n">
        <v>15</v>
      </c>
      <c r="AP36" s="6">
        <f>AM36/AO36</f>
        <v/>
      </c>
    </row>
    <row r="37">
      <c r="A37" s="2" t="inlineStr"/>
      <c r="B37" s="2" t="inlineStr">
        <is>
          <t>111001012033</t>
        </is>
      </c>
      <c r="C37" s="2" t="inlineStr">
        <is>
          <t>COLEGIO VEINTE DE JULIO (IED)</t>
        </is>
      </c>
      <c r="D37" s="2" t="inlineStr">
        <is>
          <t>SHARLETH LAMBIS SUAREZ</t>
        </is>
      </c>
      <c r="E37" s="2" t="inlineStr">
        <is>
          <t>1043703813</t>
        </is>
      </c>
      <c r="F37" s="2" t="n">
        <v>3</v>
      </c>
      <c r="G37" s="2" t="n">
        <v>302</v>
      </c>
      <c r="H37" s="2" t="inlineStr">
        <is>
          <t>LENGUAJE</t>
        </is>
      </c>
      <c r="I37" s="2" t="inlineStr">
        <is>
          <t>A</t>
        </is>
      </c>
      <c r="J37" s="4" t="inlineStr">
        <is>
          <t>INCORRECTO</t>
        </is>
      </c>
      <c r="K37" s="2" t="inlineStr">
        <is>
          <t>D</t>
        </is>
      </c>
      <c r="L37" s="4" t="inlineStr">
        <is>
          <t>INCORRECTO</t>
        </is>
      </c>
      <c r="M37" s="2" t="inlineStr">
        <is>
          <t>D</t>
        </is>
      </c>
      <c r="N37" s="4" t="inlineStr">
        <is>
          <t>INCORRECTO</t>
        </is>
      </c>
      <c r="O37" s="2" t="inlineStr">
        <is>
          <t>A</t>
        </is>
      </c>
      <c r="P37" s="4" t="inlineStr">
        <is>
          <t>INCORRECTO</t>
        </is>
      </c>
      <c r="Q37" s="2" t="inlineStr">
        <is>
          <t>A</t>
        </is>
      </c>
      <c r="R37" s="4" t="inlineStr">
        <is>
          <t>INCORRECTO</t>
        </is>
      </c>
      <c r="S37" s="2" t="inlineStr">
        <is>
          <t>C</t>
        </is>
      </c>
      <c r="T37" s="4" t="inlineStr">
        <is>
          <t>INCORRECTO</t>
        </is>
      </c>
      <c r="U37" s="2" t="inlineStr">
        <is>
          <t>B</t>
        </is>
      </c>
      <c r="V37" s="4" t="inlineStr">
        <is>
          <t>INCORRECTO</t>
        </is>
      </c>
      <c r="W37" s="2" t="inlineStr">
        <is>
          <t>C</t>
        </is>
      </c>
      <c r="X37" s="3" t="inlineStr">
        <is>
          <t>CORRECTO</t>
        </is>
      </c>
      <c r="Y37" s="2" t="inlineStr">
        <is>
          <t>C</t>
        </is>
      </c>
      <c r="Z37" s="4" t="inlineStr">
        <is>
          <t>INCORRECTO</t>
        </is>
      </c>
      <c r="AA37" s="2" t="inlineStr">
        <is>
          <t>C</t>
        </is>
      </c>
      <c r="AB37" s="3" t="inlineStr">
        <is>
          <t>CORRECTO</t>
        </is>
      </c>
      <c r="AC37" s="2" t="inlineStr">
        <is>
          <t>A</t>
        </is>
      </c>
      <c r="AD37" s="4" t="inlineStr">
        <is>
          <t>INCORRECTO</t>
        </is>
      </c>
      <c r="AE37" s="2" t="inlineStr">
        <is>
          <t>A</t>
        </is>
      </c>
      <c r="AF37" s="4" t="inlineStr">
        <is>
          <t>INCORRECTO</t>
        </is>
      </c>
      <c r="AG37" s="2" t="inlineStr">
        <is>
          <t>B</t>
        </is>
      </c>
      <c r="AH37" s="4" t="inlineStr">
        <is>
          <t>INCORRECTO</t>
        </is>
      </c>
      <c r="AI37" s="2" t="inlineStr">
        <is>
          <t>D</t>
        </is>
      </c>
      <c r="AJ37" s="4" t="inlineStr">
        <is>
          <t>INCORRECTO</t>
        </is>
      </c>
      <c r="AK37" s="2" t="inlineStr">
        <is>
          <t>D</t>
        </is>
      </c>
      <c r="AL37" s="4" t="inlineStr">
        <is>
          <t>INCORRECTO</t>
        </is>
      </c>
      <c r="AM37" s="5">
        <f>COUNTIF(J37:AL37,"CORRECTO")</f>
        <v/>
      </c>
      <c r="AN37" s="5">
        <f>COUNTIF(J37:AL37,"INCORRECTO")</f>
        <v/>
      </c>
      <c r="AO37" s="5" t="n">
        <v>15</v>
      </c>
      <c r="AP37" s="6">
        <f>AM37/AO37</f>
        <v/>
      </c>
    </row>
    <row r="38">
      <c r="A38" s="2" t="inlineStr"/>
      <c r="B38" s="2" t="inlineStr">
        <is>
          <t>111001012033</t>
        </is>
      </c>
      <c r="C38" s="2" t="inlineStr">
        <is>
          <t>COLEGIO VEINTE DE JULIO (IED)</t>
        </is>
      </c>
      <c r="D38" s="2" t="inlineStr">
        <is>
          <t>MELANIE NAYARA GUTIERREZ MELGAREJO</t>
        </is>
      </c>
      <c r="E38" s="2" t="inlineStr">
        <is>
          <t>1103365367</t>
        </is>
      </c>
      <c r="F38" s="2" t="n">
        <v>3</v>
      </c>
      <c r="G38" s="2" t="n">
        <v>302</v>
      </c>
      <c r="H38" s="2" t="inlineStr">
        <is>
          <t>MATEMÁTICAS</t>
        </is>
      </c>
      <c r="I38" s="2" t="inlineStr">
        <is>
          <t>D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B</t>
        </is>
      </c>
      <c r="N38" s="4" t="inlineStr">
        <is>
          <t>INCORRECTO</t>
        </is>
      </c>
      <c r="O38" s="2" t="inlineStr">
        <is>
          <t>D</t>
        </is>
      </c>
      <c r="P38" s="4" t="inlineStr">
        <is>
          <t>INCORRECTO</t>
        </is>
      </c>
      <c r="Q38" s="2" t="inlineStr">
        <is>
          <t>A</t>
        </is>
      </c>
      <c r="R38" s="4" t="inlineStr">
        <is>
          <t>INCORRECTO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D</t>
        </is>
      </c>
      <c r="V38" s="4" t="inlineStr">
        <is>
          <t>INCORRECTO</t>
        </is>
      </c>
      <c r="W38" s="2" t="inlineStr">
        <is>
          <t>A</t>
        </is>
      </c>
      <c r="X38" s="4" t="inlineStr">
        <is>
          <t>INCORRECTO</t>
        </is>
      </c>
      <c r="Y38" s="2" t="inlineStr">
        <is>
          <t>B</t>
        </is>
      </c>
      <c r="Z38" s="4" t="inlineStr">
        <is>
          <t>INCORRECTO</t>
        </is>
      </c>
      <c r="AA38" s="2" t="inlineStr">
        <is>
          <t>C</t>
        </is>
      </c>
      <c r="AB38" s="3" t="inlineStr">
        <is>
          <t>CORRECTO</t>
        </is>
      </c>
      <c r="AC38" s="2" t="inlineStr">
        <is>
          <t>B</t>
        </is>
      </c>
      <c r="AD38" s="4" t="inlineStr">
        <is>
          <t>INCORRECTO</t>
        </is>
      </c>
      <c r="AE38" s="2" t="inlineStr">
        <is>
          <t>A</t>
        </is>
      </c>
      <c r="AF38" s="4" t="inlineStr">
        <is>
          <t>INCORRECTO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C</t>
        </is>
      </c>
      <c r="AJ38" s="4" t="inlineStr">
        <is>
          <t>INCORRECTO</t>
        </is>
      </c>
      <c r="AK38" s="2" t="inlineStr">
        <is>
          <t>D</t>
        </is>
      </c>
      <c r="AL38" s="4" t="inlineStr">
        <is>
          <t>INCORRECTO</t>
        </is>
      </c>
      <c r="AM38" s="5">
        <f>COUNTIF(J38:AL38,"CORRECTO")</f>
        <v/>
      </c>
      <c r="AN38" s="5">
        <f>COUNTIF(J38:AL38,"INCORRECTO")</f>
        <v/>
      </c>
      <c r="AO38" s="5" t="n">
        <v>15</v>
      </c>
      <c r="AP38" s="6">
        <f>AM38/AO38</f>
        <v/>
      </c>
    </row>
    <row r="39">
      <c r="A39" s="2" t="inlineStr"/>
      <c r="B39" s="2" t="inlineStr">
        <is>
          <t>111001012033</t>
        </is>
      </c>
      <c r="C39" s="2" t="inlineStr">
        <is>
          <t>COLEGIO VEINTE DE JULIO (IED)</t>
        </is>
      </c>
      <c r="D39" s="2" t="inlineStr">
        <is>
          <t>MELANIE NAYARA GUTIERREZ MELGAREJO</t>
        </is>
      </c>
      <c r="E39" s="2" t="inlineStr">
        <is>
          <t>1103365367</t>
        </is>
      </c>
      <c r="F39" s="2" t="n">
        <v>3</v>
      </c>
      <c r="G39" s="2" t="n">
        <v>302</v>
      </c>
      <c r="H39" s="2" t="inlineStr">
        <is>
          <t>LENGUAJE</t>
        </is>
      </c>
      <c r="I39" s="2" t="inlineStr">
        <is>
          <t>D</t>
        </is>
      </c>
      <c r="J39" s="4" t="inlineStr">
        <is>
          <t>INCORRECTO</t>
        </is>
      </c>
      <c r="K39" s="2" t="inlineStr">
        <is>
          <t>C</t>
        </is>
      </c>
      <c r="L39" s="4" t="inlineStr">
        <is>
          <t>INCORRECTO</t>
        </is>
      </c>
      <c r="M39" s="2" t="inlineStr">
        <is>
          <t>D</t>
        </is>
      </c>
      <c r="N39" s="4" t="inlineStr">
        <is>
          <t>INCORRECTO</t>
        </is>
      </c>
      <c r="O39" s="2" t="inlineStr">
        <is>
          <t>A</t>
        </is>
      </c>
      <c r="P39" s="4" t="inlineStr">
        <is>
          <t>INCORRECTO</t>
        </is>
      </c>
      <c r="Q39" s="2" t="inlineStr">
        <is>
          <t>B</t>
        </is>
      </c>
      <c r="R39" s="4" t="inlineStr">
        <is>
          <t>INCORRECTO</t>
        </is>
      </c>
      <c r="S39" s="2" t="inlineStr">
        <is>
          <t>D</t>
        </is>
      </c>
      <c r="T39" s="4" t="inlineStr">
        <is>
          <t>INCORRECTO</t>
        </is>
      </c>
      <c r="U39" s="2" t="inlineStr">
        <is>
          <t>A</t>
        </is>
      </c>
      <c r="V39" s="4" t="inlineStr">
        <is>
          <t>INCORRECTO</t>
        </is>
      </c>
      <c r="W39" s="2" t="inlineStr">
        <is>
          <t>C</t>
        </is>
      </c>
      <c r="X39" s="3" t="inlineStr">
        <is>
          <t>CORRECTO</t>
        </is>
      </c>
      <c r="Y39" s="2" t="inlineStr">
        <is>
          <t>B</t>
        </is>
      </c>
      <c r="Z39" s="3" t="inlineStr">
        <is>
          <t>CORRECTO</t>
        </is>
      </c>
      <c r="AA39" s="2" t="inlineStr">
        <is>
          <t>D</t>
        </is>
      </c>
      <c r="AB39" s="4" t="inlineStr">
        <is>
          <t>INCORRECTO</t>
        </is>
      </c>
      <c r="AC39" s="2" t="inlineStr">
        <is>
          <t>C</t>
        </is>
      </c>
      <c r="AD39" s="3" t="inlineStr">
        <is>
          <t>CORRECTO</t>
        </is>
      </c>
      <c r="AE39" s="2" t="inlineStr">
        <is>
          <t>C</t>
        </is>
      </c>
      <c r="AF39" s="4" t="inlineStr">
        <is>
          <t>INCORRECTO</t>
        </is>
      </c>
      <c r="AG39" s="2" t="inlineStr">
        <is>
          <t>D</t>
        </is>
      </c>
      <c r="AH39" s="4" t="inlineStr">
        <is>
          <t>INCORRECTO</t>
        </is>
      </c>
      <c r="AI39" s="2" t="inlineStr">
        <is>
          <t>A</t>
        </is>
      </c>
      <c r="AJ39" s="4" t="inlineStr">
        <is>
          <t>INCORRECTO</t>
        </is>
      </c>
      <c r="AK39" s="2" t="inlineStr">
        <is>
          <t>A</t>
        </is>
      </c>
      <c r="AL39" s="3" t="inlineStr">
        <is>
          <t>CORRECTO</t>
        </is>
      </c>
      <c r="AM39" s="5">
        <f>COUNTIF(J39:AL39,"CORRECTO")</f>
        <v/>
      </c>
      <c r="AN39" s="5">
        <f>COUNTIF(J39:AL39,"INCORRECTO")</f>
        <v/>
      </c>
      <c r="AO39" s="5" t="n">
        <v>15</v>
      </c>
      <c r="AP39" s="6">
        <f>AM39/AO39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2026-06-25T15:37:36Z</dcterms:created>
  <dcterms:modified xmlns:dcterms="http://purl.org/dc/terms/" xmlns:xsi="http://www.w3.org/2001/XMLSchema-instance" xsi:type="dcterms:W3CDTF">2026-06-25T15:37:36Z</dcterms:modified>
</cp:coreProperties>
</file>