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/>
      <c r="B2" s="2" t="inlineStr">
        <is>
          <t>111001800660</t>
        </is>
      </c>
      <c r="C2" s="2" t="inlineStr">
        <is>
          <t>COLEGIO CIUDAD CHENGDU (IED) - SEDE PRINCIPAL</t>
        </is>
      </c>
      <c r="D2" s="2" t="inlineStr">
        <is>
          <t>KAREN DAYANA ALAPE VARGAS</t>
        </is>
      </c>
      <c r="E2" s="2" t="inlineStr">
        <is>
          <t>1140932449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D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/>
      <c r="B3" s="2" t="inlineStr">
        <is>
          <t>111001800660</t>
        </is>
      </c>
      <c r="C3" s="2" t="inlineStr">
        <is>
          <t>COLEGIO CIUDAD CHENGDU (IED) - SEDE PRINCIPAL</t>
        </is>
      </c>
      <c r="D3" s="2" t="inlineStr">
        <is>
          <t>KAREN DAYANA ALAPE VARGAS</t>
        </is>
      </c>
      <c r="E3" s="2" t="inlineStr">
        <is>
          <t>1140932449</t>
        </is>
      </c>
      <c r="F3" s="2" t="n">
        <v>3</v>
      </c>
      <c r="G3" s="2" t="n">
        <v>301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/>
      <c r="Z3" s="4" t="inlineStr">
        <is>
          <t>INCORRECTO</t>
        </is>
      </c>
      <c r="AA3" s="2" t="inlineStr">
        <is>
          <t>B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A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/>
      <c r="B4" s="2" t="inlineStr">
        <is>
          <t>111001800660</t>
        </is>
      </c>
      <c r="C4" s="2" t="inlineStr">
        <is>
          <t>COLEGIO CIUDAD CHENGDU (IED) - SEDE PRINCIPAL</t>
        </is>
      </c>
      <c r="D4" s="2" t="inlineStr">
        <is>
          <t>DANIEL EDUARDO ACUÑA ORTIZ</t>
        </is>
      </c>
      <c r="E4" s="2" t="inlineStr">
        <is>
          <t>1222216517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A</t>
        </is>
      </c>
      <c r="T4" s="4" t="inlineStr">
        <is>
          <t>INCORRECTO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B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B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A</t>
        </is>
      </c>
      <c r="AH4" s="4" t="inlineStr">
        <is>
          <t>INCORRECTO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/>
      <c r="B5" s="2" t="inlineStr">
        <is>
          <t>111001800660</t>
        </is>
      </c>
      <c r="C5" s="2" t="inlineStr">
        <is>
          <t>COLEGIO CIUDAD CHENGDU (IED) - SEDE PRINCIPAL</t>
        </is>
      </c>
      <c r="D5" s="2" t="inlineStr">
        <is>
          <t>DANIEL EDUARDO ACUÑA ORTIZ</t>
        </is>
      </c>
      <c r="E5" s="2" t="inlineStr">
        <is>
          <t>1222216517</t>
        </is>
      </c>
      <c r="F5" s="2" t="n">
        <v>3</v>
      </c>
      <c r="G5" s="2" t="n">
        <v>301</v>
      </c>
      <c r="H5" s="2" t="inlineStr">
        <is>
          <t>LENGUAJE</t>
        </is>
      </c>
      <c r="I5" s="2" t="inlineStr">
        <is>
          <t>C</t>
        </is>
      </c>
      <c r="J5" s="4" t="inlineStr">
        <is>
          <t>INCORRECTO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D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D</t>
        </is>
      </c>
      <c r="AB5" s="4" t="inlineStr">
        <is>
          <t>INCORRECTO</t>
        </is>
      </c>
      <c r="AC5" s="2" t="inlineStr">
        <is>
          <t>B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D</t>
        </is>
      </c>
      <c r="AH5" s="4" t="inlineStr">
        <is>
          <t>INCORRECTO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/>
      <c r="B6" s="2" t="inlineStr">
        <is>
          <t>111001800660</t>
        </is>
      </c>
      <c r="C6" s="2" t="inlineStr">
        <is>
          <t>COLEGIO CIUDAD CHENGDU (IED) - SEDE PRINCIPAL</t>
        </is>
      </c>
      <c r="D6" s="2" t="inlineStr">
        <is>
          <t>MIA GABRIELA CORTES CORREA</t>
        </is>
      </c>
      <c r="E6" s="2" t="inlineStr">
        <is>
          <t>1023038072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C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/>
      <c r="B7" s="2" t="inlineStr">
        <is>
          <t>111001800660</t>
        </is>
      </c>
      <c r="C7" s="2" t="inlineStr">
        <is>
          <t>COLEGIO CIUDAD CHENGDU (IED) - SEDE PRINCIPAL</t>
        </is>
      </c>
      <c r="D7" s="2" t="inlineStr">
        <is>
          <t>MIA GABRIELA CORTES CORREA</t>
        </is>
      </c>
      <c r="E7" s="2" t="inlineStr">
        <is>
          <t>1023038072</t>
        </is>
      </c>
      <c r="F7" s="2" t="n">
        <v>3</v>
      </c>
      <c r="G7" s="2" t="n">
        <v>301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A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/>
      <c r="B8" s="2" t="inlineStr">
        <is>
          <t>111001800660</t>
        </is>
      </c>
      <c r="C8" s="2" t="inlineStr">
        <is>
          <t>COLEGIO CIUDAD CHENGDU (IED) - SEDE PRINCIPAL</t>
        </is>
      </c>
      <c r="D8" s="2" t="inlineStr">
        <is>
          <t>SERGIO ALEXANDER BELTRAN VEGA</t>
        </is>
      </c>
      <c r="E8" s="2" t="inlineStr">
        <is>
          <t>1023038494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/>
      <c r="B9" s="2" t="inlineStr">
        <is>
          <t>111001800660</t>
        </is>
      </c>
      <c r="C9" s="2" t="inlineStr">
        <is>
          <t>COLEGIO CIUDAD CHENGDU (IED) - SEDE PRINCIPAL</t>
        </is>
      </c>
      <c r="D9" s="2" t="inlineStr">
        <is>
          <t>SERGIO ALEXANDER BELTRAN VEGA</t>
        </is>
      </c>
      <c r="E9" s="2" t="inlineStr">
        <is>
          <t>1023038494</t>
        </is>
      </c>
      <c r="F9" s="2" t="n">
        <v>3</v>
      </c>
      <c r="G9" s="2" t="n">
        <v>301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/>
      <c r="B10" s="2" t="inlineStr">
        <is>
          <t>111001800660</t>
        </is>
      </c>
      <c r="C10" s="2" t="inlineStr">
        <is>
          <t>COLEGIO CIUDAD CHENGDU (IED) - SEDE PRINCIPAL</t>
        </is>
      </c>
      <c r="D10" s="2" t="inlineStr">
        <is>
          <t>SHARON LUCIANA BETANCOURTH YEPES</t>
        </is>
      </c>
      <c r="E10" s="2" t="inlineStr">
        <is>
          <t>1030695616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D</t>
        </is>
      </c>
      <c r="N10" s="4" t="inlineStr">
        <is>
          <t>INCORRECTO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A</t>
        </is>
      </c>
      <c r="AL10" s="3" t="inlineStr">
        <is>
          <t>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/>
      <c r="B11" s="2" t="inlineStr">
        <is>
          <t>111001800660</t>
        </is>
      </c>
      <c r="C11" s="2" t="inlineStr">
        <is>
          <t>COLEGIO CIUDAD CHENGDU (IED) - SEDE PRINCIPAL</t>
        </is>
      </c>
      <c r="D11" s="2" t="inlineStr">
        <is>
          <t>SHARON LUCIANA BETANCOURTH YEPES</t>
        </is>
      </c>
      <c r="E11" s="2" t="inlineStr">
        <is>
          <t>1030695616</t>
        </is>
      </c>
      <c r="F11" s="2" t="n">
        <v>3</v>
      </c>
      <c r="G11" s="2" t="n">
        <v>301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/>
      <c r="B12" s="2" t="inlineStr">
        <is>
          <t>111001800660</t>
        </is>
      </c>
      <c r="C12" s="2" t="inlineStr">
        <is>
          <t>COLEGIO CIUDAD CHENGDU (IED) - SEDE PRINCIPAL</t>
        </is>
      </c>
      <c r="D12" s="2" t="inlineStr">
        <is>
          <t>MANUEL SANTIAGO CHAVES GOMEZ</t>
        </is>
      </c>
      <c r="E12" s="2" t="inlineStr">
        <is>
          <t>1023040215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/>
      <c r="B13" s="2" t="inlineStr">
        <is>
          <t>111001800660</t>
        </is>
      </c>
      <c r="C13" s="2" t="inlineStr">
        <is>
          <t>COLEGIO CIUDAD CHENGDU (IED) - SEDE PRINCIPAL</t>
        </is>
      </c>
      <c r="D13" s="2" t="inlineStr">
        <is>
          <t>MANUEL SANTIAGO CHAVES GOMEZ</t>
        </is>
      </c>
      <c r="E13" s="2" t="inlineStr">
        <is>
          <t>1023040215</t>
        </is>
      </c>
      <c r="F13" s="2" t="n">
        <v>3</v>
      </c>
      <c r="G13" s="2" t="n">
        <v>301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/>
      <c r="B14" s="2" t="inlineStr">
        <is>
          <t>111001800660</t>
        </is>
      </c>
      <c r="C14" s="2" t="inlineStr">
        <is>
          <t>COLEGIO CIUDAD CHENGDU (IED) - SEDE PRINCIPAL</t>
        </is>
      </c>
      <c r="D14" s="2" t="inlineStr">
        <is>
          <t>DULCETH MARIA GOMEZ GALEANO</t>
        </is>
      </c>
      <c r="E14" s="2" t="inlineStr">
        <is>
          <t>1023039114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B</t>
        </is>
      </c>
      <c r="AB14" s="4" t="inlineStr">
        <is>
          <t>INCORRECTO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/>
      <c r="B15" s="2" t="inlineStr">
        <is>
          <t>111001800660</t>
        </is>
      </c>
      <c r="C15" s="2" t="inlineStr">
        <is>
          <t>COLEGIO CIUDAD CHENGDU (IED) - SEDE PRINCIPAL</t>
        </is>
      </c>
      <c r="D15" s="2" t="inlineStr">
        <is>
          <t>DULCETH MARIA GOMEZ GALEANO</t>
        </is>
      </c>
      <c r="E15" s="2" t="inlineStr">
        <is>
          <t>1023039114</t>
        </is>
      </c>
      <c r="F15" s="2" t="n">
        <v>3</v>
      </c>
      <c r="G15" s="2" t="n">
        <v>301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A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/>
      <c r="B16" s="2" t="inlineStr">
        <is>
          <t>111001800660</t>
        </is>
      </c>
      <c r="C16" s="2" t="inlineStr">
        <is>
          <t>COLEGIO CIUDAD CHENGDU (IED) - SEDE PRINCIPAL</t>
        </is>
      </c>
      <c r="D16" s="2" t="inlineStr">
        <is>
          <t>IAN SEBASTIAN GAONA MEDINA</t>
        </is>
      </c>
      <c r="E16" s="2" t="inlineStr">
        <is>
          <t>1012977350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C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/>
      <c r="B17" s="2" t="inlineStr">
        <is>
          <t>111001800660</t>
        </is>
      </c>
      <c r="C17" s="2" t="inlineStr">
        <is>
          <t>COLEGIO CIUDAD CHENGDU (IED) - SEDE PRINCIPAL</t>
        </is>
      </c>
      <c r="D17" s="2" t="inlineStr">
        <is>
          <t>IAN SEBASTIAN GAONA MEDINA</t>
        </is>
      </c>
      <c r="E17" s="2" t="inlineStr">
        <is>
          <t>1012977350</t>
        </is>
      </c>
      <c r="F17" s="2" t="n">
        <v>3</v>
      </c>
      <c r="G17" s="2" t="n">
        <v>301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4" t="inlineStr">
        <is>
          <t>INCORRECTO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/>
      <c r="B18" s="2" t="inlineStr">
        <is>
          <t>111001800660</t>
        </is>
      </c>
      <c r="C18" s="2" t="inlineStr">
        <is>
          <t>COLEGIO CIUDAD CHENGDU (IED) - SEDE PRINCIPAL</t>
        </is>
      </c>
      <c r="D18" s="2" t="inlineStr">
        <is>
          <t>HAIDER LEANDRO FONSECA CRUZ</t>
        </is>
      </c>
      <c r="E18" s="2" t="inlineStr">
        <is>
          <t>1023037923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/>
      <c r="B19" s="2" t="inlineStr">
        <is>
          <t>111001800660</t>
        </is>
      </c>
      <c r="C19" s="2" t="inlineStr">
        <is>
          <t>COLEGIO CIUDAD CHENGDU (IED) - SEDE PRINCIPAL</t>
        </is>
      </c>
      <c r="D19" s="2" t="inlineStr">
        <is>
          <t>HAIDER LEANDRO FONSECA CRUZ</t>
        </is>
      </c>
      <c r="E19" s="2" t="inlineStr">
        <is>
          <t>1023037923</t>
        </is>
      </c>
      <c r="F19" s="2" t="n">
        <v>3</v>
      </c>
      <c r="G19" s="2" t="n">
        <v>301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C</t>
        </is>
      </c>
      <c r="P19" s="3" t="inlineStr">
        <is>
          <t>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/>
      <c r="AD19" s="4" t="inlineStr">
        <is>
          <t>INCORRECTO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A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/>
      <c r="B20" s="2" t="inlineStr">
        <is>
          <t>111001800660</t>
        </is>
      </c>
      <c r="C20" s="2" t="inlineStr">
        <is>
          <t>COLEGIO CIUDAD CHENGDU (IED) - SEDE PRINCIPAL</t>
        </is>
      </c>
      <c r="D20" s="2" t="inlineStr">
        <is>
          <t>STIVENS HERNANDEZ RIVERA</t>
        </is>
      </c>
      <c r="E20" s="2" t="inlineStr">
        <is>
          <t>1220225337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D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4" t="inlineStr">
        <is>
          <t>INCORRECTO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/>
      <c r="B21" s="2" t="inlineStr">
        <is>
          <t>111001800660</t>
        </is>
      </c>
      <c r="C21" s="2" t="inlineStr">
        <is>
          <t>COLEGIO CIUDAD CHENGDU (IED) - SEDE PRINCIPAL</t>
        </is>
      </c>
      <c r="D21" s="2" t="inlineStr">
        <is>
          <t>STIVENS HERNANDEZ RIVERA</t>
        </is>
      </c>
      <c r="E21" s="2" t="inlineStr">
        <is>
          <t>1220225337</t>
        </is>
      </c>
      <c r="F21" s="2" t="n">
        <v>3</v>
      </c>
      <c r="G21" s="2" t="n">
        <v>301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C</t>
        </is>
      </c>
      <c r="AJ21" s="4" t="inlineStr">
        <is>
          <t>INCORRECTO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/>
      <c r="B22" s="2" t="inlineStr">
        <is>
          <t>111001800660</t>
        </is>
      </c>
      <c r="C22" s="2" t="inlineStr">
        <is>
          <t>COLEGIO CIUDAD CHENGDU (IED) - SEDE PRINCIPAL</t>
        </is>
      </c>
      <c r="D22" s="2" t="inlineStr">
        <is>
          <t>YIHENDRY DAVID JIMENEZ MARTINEZ</t>
        </is>
      </c>
      <c r="E22" s="2" t="inlineStr">
        <is>
          <t>1233919795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C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/>
      <c r="B23" s="2" t="inlineStr">
        <is>
          <t>111001800660</t>
        </is>
      </c>
      <c r="C23" s="2" t="inlineStr">
        <is>
          <t>COLEGIO CIUDAD CHENGDU (IED) - SEDE PRINCIPAL</t>
        </is>
      </c>
      <c r="D23" s="2" t="inlineStr">
        <is>
          <t>YIHENDRY DAVID JIMENEZ MARTINEZ</t>
        </is>
      </c>
      <c r="E23" s="2" t="inlineStr">
        <is>
          <t>1233919795</t>
        </is>
      </c>
      <c r="F23" s="2" t="n">
        <v>3</v>
      </c>
      <c r="G23" s="2" t="n">
        <v>301</v>
      </c>
      <c r="H23" s="2" t="inlineStr">
        <is>
          <t>LENGUAJE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/>
      <c r="AD23" s="4" t="inlineStr">
        <is>
          <t>INCORRECTO</t>
        </is>
      </c>
      <c r="AE23" s="2" t="inlineStr">
        <is>
          <t>C</t>
        </is>
      </c>
      <c r="AF23" s="4" t="inlineStr">
        <is>
          <t>INCORRECTO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/>
      <c r="B24" s="2" t="inlineStr">
        <is>
          <t>111001800660</t>
        </is>
      </c>
      <c r="C24" s="2" t="inlineStr">
        <is>
          <t>COLEGIO CIUDAD CHENGDU (IED) - SEDE PRINCIPAL</t>
        </is>
      </c>
      <c r="D24" s="2" t="inlineStr">
        <is>
          <t>THIAGO LONDOÑO RIVERA</t>
        </is>
      </c>
      <c r="E24" s="2" t="inlineStr">
        <is>
          <t>1140932239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C</t>
        </is>
      </c>
      <c r="R24" s="4" t="inlineStr">
        <is>
          <t>INCORRECTO</t>
        </is>
      </c>
      <c r="S24" s="2" t="inlineStr">
        <is>
          <t>A</t>
        </is>
      </c>
      <c r="T24" s="4" t="inlineStr">
        <is>
          <t>INCORRECTO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/>
      <c r="B25" s="2" t="inlineStr">
        <is>
          <t>111001800660</t>
        </is>
      </c>
      <c r="C25" s="2" t="inlineStr">
        <is>
          <t>COLEGIO CIUDAD CHENGDU (IED) - SEDE PRINCIPAL</t>
        </is>
      </c>
      <c r="D25" s="2" t="inlineStr">
        <is>
          <t>THIAGO LONDOÑO RIVERA</t>
        </is>
      </c>
      <c r="E25" s="2" t="inlineStr">
        <is>
          <t>1140932239</t>
        </is>
      </c>
      <c r="F25" s="2" t="n">
        <v>3</v>
      </c>
      <c r="G25" s="2" t="n">
        <v>301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/>
      <c r="B26" s="2" t="inlineStr">
        <is>
          <t>111001800660</t>
        </is>
      </c>
      <c r="C26" s="2" t="inlineStr">
        <is>
          <t>COLEGIO CIUDAD CHENGDU (IED) - SEDE PRINCIPAL</t>
        </is>
      </c>
      <c r="D26" s="2" t="inlineStr">
        <is>
          <t>DEIVYD SANTIAGO MARIN MORENO</t>
        </is>
      </c>
      <c r="E26" s="2" t="inlineStr">
        <is>
          <t>1023030072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D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C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C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/>
      <c r="B27" s="2" t="inlineStr">
        <is>
          <t>111001800660</t>
        </is>
      </c>
      <c r="C27" s="2" t="inlineStr">
        <is>
          <t>COLEGIO CIUDAD CHENGDU (IED) - SEDE PRINCIPAL</t>
        </is>
      </c>
      <c r="D27" s="2" t="inlineStr">
        <is>
          <t>DEIVYD SANTIAGO MARIN MORENO</t>
        </is>
      </c>
      <c r="E27" s="2" t="inlineStr">
        <is>
          <t>1023030072</t>
        </is>
      </c>
      <c r="F27" s="2" t="n">
        <v>3</v>
      </c>
      <c r="G27" s="2" t="n">
        <v>301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/>
      <c r="B28" s="2" t="inlineStr">
        <is>
          <t>111001800660</t>
        </is>
      </c>
      <c r="C28" s="2" t="inlineStr">
        <is>
          <t>COLEGIO CIUDAD CHENGDU (IED) - SEDE PRINCIPAL</t>
        </is>
      </c>
      <c r="D28" s="2" t="inlineStr">
        <is>
          <t>AMY GABRIELA JURADO CARVAJAL</t>
        </is>
      </c>
      <c r="E28" s="2" t="inlineStr">
        <is>
          <t>1140932917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B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D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/>
      <c r="B29" s="2" t="inlineStr">
        <is>
          <t>111001800660</t>
        </is>
      </c>
      <c r="C29" s="2" t="inlineStr">
        <is>
          <t>COLEGIO CIUDAD CHENGDU (IED) - SEDE PRINCIPAL</t>
        </is>
      </c>
      <c r="D29" s="2" t="inlineStr">
        <is>
          <t>AMY GABRIELA JURADO CARVAJAL</t>
        </is>
      </c>
      <c r="E29" s="2" t="inlineStr">
        <is>
          <t>1140932917</t>
        </is>
      </c>
      <c r="F29" s="2" t="n">
        <v>3</v>
      </c>
      <c r="G29" s="2" t="n">
        <v>301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/>
      <c r="B30" s="2" t="inlineStr">
        <is>
          <t>111001800660</t>
        </is>
      </c>
      <c r="C30" s="2" t="inlineStr">
        <is>
          <t>COLEGIO CIUDAD CHENGDU (IED) - SEDE PRINCIPAL</t>
        </is>
      </c>
      <c r="D30" s="2" t="inlineStr">
        <is>
          <t>JEFRY OTALORA MORENO</t>
        </is>
      </c>
      <c r="E30" s="2" t="inlineStr">
        <is>
          <t>1140932086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/>
      <c r="B31" s="2" t="inlineStr">
        <is>
          <t>111001800660</t>
        </is>
      </c>
      <c r="C31" s="2" t="inlineStr">
        <is>
          <t>COLEGIO CIUDAD CHENGDU (IED) - SEDE PRINCIPAL</t>
        </is>
      </c>
      <c r="D31" s="2" t="inlineStr">
        <is>
          <t>JEFRY OTALORA MORENO</t>
        </is>
      </c>
      <c r="E31" s="2" t="inlineStr">
        <is>
          <t>1140932086</t>
        </is>
      </c>
      <c r="F31" s="2" t="n">
        <v>3</v>
      </c>
      <c r="G31" s="2" t="n">
        <v>301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C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/>
      <c r="B32" s="2" t="inlineStr">
        <is>
          <t>111001800660</t>
        </is>
      </c>
      <c r="C32" s="2" t="inlineStr">
        <is>
          <t>COLEGIO CIUDAD CHENGDU (IED) - SEDE PRINCIPAL</t>
        </is>
      </c>
      <c r="D32" s="2" t="inlineStr">
        <is>
          <t>EILIN SOFIA ALFARO RENTERIA</t>
        </is>
      </c>
      <c r="E32" s="2" t="inlineStr">
        <is>
          <t>1073708105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D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/>
      <c r="B33" s="2" t="inlineStr">
        <is>
          <t>111001800660</t>
        </is>
      </c>
      <c r="C33" s="2" t="inlineStr">
        <is>
          <t>COLEGIO CIUDAD CHENGDU (IED) - SEDE PRINCIPAL</t>
        </is>
      </c>
      <c r="D33" s="2" t="inlineStr">
        <is>
          <t>EILIN SOFIA ALFARO RENTERIA</t>
        </is>
      </c>
      <c r="E33" s="2" t="inlineStr">
        <is>
          <t>1073708105</t>
        </is>
      </c>
      <c r="F33" s="2" t="n">
        <v>3</v>
      </c>
      <c r="G33" s="2" t="n">
        <v>301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C</t>
        </is>
      </c>
      <c r="AL33" s="4" t="inlineStr">
        <is>
          <t>INCORRECTO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/>
      <c r="B34" s="2" t="inlineStr">
        <is>
          <t>111001800660</t>
        </is>
      </c>
      <c r="C34" s="2" t="inlineStr">
        <is>
          <t>COLEGIO CIUDAD CHENGDU (IED) - SEDE PRINCIPAL</t>
        </is>
      </c>
      <c r="D34" s="2" t="inlineStr">
        <is>
          <t>SAMUEL DAVID ALFARO RENTERIA</t>
        </is>
      </c>
      <c r="E34" s="2" t="inlineStr">
        <is>
          <t>1073714690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C</t>
        </is>
      </c>
      <c r="V34" s="4" t="inlineStr">
        <is>
          <t>INCORRECTO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4" t="inlineStr">
        <is>
          <t>INCORRECTO</t>
        </is>
      </c>
      <c r="AK34" s="2" t="inlineStr">
        <is>
          <t>C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/>
      <c r="B35" s="2" t="inlineStr">
        <is>
          <t>111001800660</t>
        </is>
      </c>
      <c r="C35" s="2" t="inlineStr">
        <is>
          <t>COLEGIO CIUDAD CHENGDU (IED) - SEDE PRINCIPAL</t>
        </is>
      </c>
      <c r="D35" s="2" t="inlineStr">
        <is>
          <t>SAMUEL DAVID ALFARO RENTERIA</t>
        </is>
      </c>
      <c r="E35" s="2" t="inlineStr">
        <is>
          <t>1073714690</t>
        </is>
      </c>
      <c r="F35" s="2" t="n">
        <v>3</v>
      </c>
      <c r="G35" s="2" t="n">
        <v>301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C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/>
      <c r="B36" s="2" t="inlineStr">
        <is>
          <t>111001800660</t>
        </is>
      </c>
      <c r="C36" s="2" t="inlineStr">
        <is>
          <t>COLEGIO CIUDAD CHENGDU (IED) - SEDE PRINCIPAL</t>
        </is>
      </c>
      <c r="D36" s="2" t="inlineStr">
        <is>
          <t>JHOSTIN ANDREY OROZCO LUNA</t>
        </is>
      </c>
      <c r="E36" s="2" t="inlineStr">
        <is>
          <t>1140933996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/>
      <c r="B37" s="2" t="inlineStr">
        <is>
          <t>111001800660</t>
        </is>
      </c>
      <c r="C37" s="2" t="inlineStr">
        <is>
          <t>COLEGIO CIUDAD CHENGDU (IED) - SEDE PRINCIPAL</t>
        </is>
      </c>
      <c r="D37" s="2" t="inlineStr">
        <is>
          <t>JHOSTIN ANDREY OROZCO LUNA</t>
        </is>
      </c>
      <c r="E37" s="2" t="inlineStr">
        <is>
          <t>1140933996</t>
        </is>
      </c>
      <c r="F37" s="2" t="n">
        <v>3</v>
      </c>
      <c r="G37" s="2" t="n">
        <v>301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B</t>
        </is>
      </c>
      <c r="AL37" s="4" t="inlineStr">
        <is>
          <t>INCORRECTO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/>
      <c r="B38" s="2" t="inlineStr">
        <is>
          <t>111001800660</t>
        </is>
      </c>
      <c r="C38" s="2" t="inlineStr">
        <is>
          <t>COLEGIO CIUDAD CHENGDU (IED) - SEDE PRINCIPAL</t>
        </is>
      </c>
      <c r="D38" s="2" t="inlineStr">
        <is>
          <t>GELEN ALEXA NIAMPIRA BURBANO</t>
        </is>
      </c>
      <c r="E38" s="2" t="inlineStr">
        <is>
          <t>1023412310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/>
      <c r="B39" s="2" t="inlineStr">
        <is>
          <t>111001800660</t>
        </is>
      </c>
      <c r="C39" s="2" t="inlineStr">
        <is>
          <t>COLEGIO CIUDAD CHENGDU (IED) - SEDE PRINCIPAL</t>
        </is>
      </c>
      <c r="D39" s="2" t="inlineStr">
        <is>
          <t>GELEN ALEXA NIAMPIRA BURBANO</t>
        </is>
      </c>
      <c r="E39" s="2" t="inlineStr">
        <is>
          <t>1023412310</t>
        </is>
      </c>
      <c r="F39" s="2" t="n">
        <v>3</v>
      </c>
      <c r="G39" s="2" t="n">
        <v>301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D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/>
      <c r="B40" s="2" t="inlineStr">
        <is>
          <t>111001800660</t>
        </is>
      </c>
      <c r="C40" s="2" t="inlineStr">
        <is>
          <t>COLEGIO CIUDAD CHENGDU (IED) - SEDE PRINCIPAL</t>
        </is>
      </c>
      <c r="D40" s="2" t="inlineStr">
        <is>
          <t>ISABELLA MOGOLLON GOMEZ</t>
        </is>
      </c>
      <c r="E40" s="2" t="inlineStr">
        <is>
          <t>1013693470</t>
        </is>
      </c>
      <c r="F40" s="2" t="n">
        <v>3</v>
      </c>
      <c r="G40" s="2" t="n">
        <v>301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B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D</t>
        </is>
      </c>
      <c r="AB40" s="4" t="inlineStr">
        <is>
          <t>INCORRECTO</t>
        </is>
      </c>
      <c r="AC40" s="2" t="inlineStr">
        <is>
          <t>D</t>
        </is>
      </c>
      <c r="AD40" s="3" t="inlineStr">
        <is>
          <t>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/>
      <c r="B41" s="2" t="inlineStr">
        <is>
          <t>111001800660</t>
        </is>
      </c>
      <c r="C41" s="2" t="inlineStr">
        <is>
          <t>COLEGIO CIUDAD CHENGDU (IED) - SEDE PRINCIPAL</t>
        </is>
      </c>
      <c r="D41" s="2" t="inlineStr">
        <is>
          <t>ISABELLA MOGOLLON GOMEZ</t>
        </is>
      </c>
      <c r="E41" s="2" t="inlineStr">
        <is>
          <t>1013693470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/>
      <c r="B42" s="2" t="inlineStr">
        <is>
          <t>111001800660</t>
        </is>
      </c>
      <c r="C42" s="2" t="inlineStr">
        <is>
          <t>COLEGIO CIUDAD CHENGDU (IED) - SEDE PRINCIPAL</t>
        </is>
      </c>
      <c r="D42" s="2" t="inlineStr">
        <is>
          <t>LUCIANA GARCIA HERNANDEZ</t>
        </is>
      </c>
      <c r="E42" s="2" t="inlineStr">
        <is>
          <t>1027539058</t>
        </is>
      </c>
      <c r="F42" s="2" t="n">
        <v>3</v>
      </c>
      <c r="G42" s="2" t="n">
        <v>301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D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/>
      <c r="B43" s="2" t="inlineStr">
        <is>
          <t>111001800660</t>
        </is>
      </c>
      <c r="C43" s="2" t="inlineStr">
        <is>
          <t>COLEGIO CIUDAD CHENGDU (IED) - SEDE PRINCIPAL</t>
        </is>
      </c>
      <c r="D43" s="2" t="inlineStr">
        <is>
          <t>LUCIANA GARCIA HERNANDEZ</t>
        </is>
      </c>
      <c r="E43" s="2" t="inlineStr">
        <is>
          <t>1027539058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3" t="inlineStr">
        <is>
          <t>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C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/>
      <c r="B44" s="2" t="inlineStr">
        <is>
          <t>111001800660</t>
        </is>
      </c>
      <c r="C44" s="2" t="inlineStr">
        <is>
          <t>COLEGIO CIUDAD CHENGDU (IED) - SEDE PRINCIPAL</t>
        </is>
      </c>
      <c r="D44" s="2" t="inlineStr">
        <is>
          <t>JOSE ANGEL ORJUELA CRUZ</t>
        </is>
      </c>
      <c r="E44" s="2" t="inlineStr">
        <is>
          <t>1023036824</t>
        </is>
      </c>
      <c r="F44" s="2" t="n">
        <v>3</v>
      </c>
      <c r="G44" s="2" t="n">
        <v>301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4" t="inlineStr">
        <is>
          <t>INCORRECTO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A</t>
        </is>
      </c>
      <c r="AL44" s="3" t="inlineStr">
        <is>
          <t>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/>
      <c r="B45" s="2" t="inlineStr">
        <is>
          <t>111001800660</t>
        </is>
      </c>
      <c r="C45" s="2" t="inlineStr">
        <is>
          <t>COLEGIO CIUDAD CHENGDU (IED) - SEDE PRINCIPAL</t>
        </is>
      </c>
      <c r="D45" s="2" t="inlineStr">
        <is>
          <t>JOSE ANGEL ORJUELA CRUZ</t>
        </is>
      </c>
      <c r="E45" s="2" t="inlineStr">
        <is>
          <t>1023036824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/>
      <c r="B46" s="2" t="inlineStr">
        <is>
          <t>111001800660</t>
        </is>
      </c>
      <c r="C46" s="2" t="inlineStr">
        <is>
          <t>COLEGIO CIUDAD CHENGDU (IED) - SEDE PRINCIPAL</t>
        </is>
      </c>
      <c r="D46" s="2" t="inlineStr">
        <is>
          <t>DANNA MICHELL MONTOYA LADINO</t>
        </is>
      </c>
      <c r="E46" s="2" t="inlineStr">
        <is>
          <t>1029154382</t>
        </is>
      </c>
      <c r="F46" s="2" t="n">
        <v>3</v>
      </c>
      <c r="G46" s="2" t="n">
        <v>301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D</t>
        </is>
      </c>
      <c r="R46" s="4" t="inlineStr">
        <is>
          <t>INCORRECTO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D</t>
        </is>
      </c>
      <c r="X46" s="3" t="inlineStr">
        <is>
          <t>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/>
      <c r="B47" s="2" t="inlineStr">
        <is>
          <t>111001800660</t>
        </is>
      </c>
      <c r="C47" s="2" t="inlineStr">
        <is>
          <t>COLEGIO CIUDAD CHENGDU (IED) - SEDE PRINCIPAL</t>
        </is>
      </c>
      <c r="D47" s="2" t="inlineStr">
        <is>
          <t>DANNA MICHELL MONTOYA LADINO</t>
        </is>
      </c>
      <c r="E47" s="2" t="inlineStr">
        <is>
          <t>1029154382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/>
      <c r="B48" s="2" t="inlineStr">
        <is>
          <t>111001800660</t>
        </is>
      </c>
      <c r="C48" s="2" t="inlineStr">
        <is>
          <t>COLEGIO CIUDAD CHENGDU (IED) - SEDE PRINCIPAL</t>
        </is>
      </c>
      <c r="D48" s="2" t="inlineStr">
        <is>
          <t>MELANY SOPHIA PUERTO ZAMBRANO</t>
        </is>
      </c>
      <c r="E48" s="2" t="inlineStr">
        <is>
          <t>1028792806</t>
        </is>
      </c>
      <c r="F48" s="2" t="n">
        <v>3</v>
      </c>
      <c r="G48" s="2" t="n">
        <v>301</v>
      </c>
      <c r="H48" s="2" t="inlineStr">
        <is>
          <t>MATEMÁTICAS</t>
        </is>
      </c>
      <c r="I48" s="2" t="inlineStr">
        <is>
          <t>D</t>
        </is>
      </c>
      <c r="J48" s="3" t="inlineStr">
        <is>
          <t>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B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/>
      <c r="B49" s="2" t="inlineStr">
        <is>
          <t>111001800660</t>
        </is>
      </c>
      <c r="C49" s="2" t="inlineStr">
        <is>
          <t>COLEGIO CIUDAD CHENGDU (IED) - SEDE PRINCIPAL</t>
        </is>
      </c>
      <c r="D49" s="2" t="inlineStr">
        <is>
          <t>MELANY SOPHIA PUERTO ZAMBRANO</t>
        </is>
      </c>
      <c r="E49" s="2" t="inlineStr">
        <is>
          <t>1028792806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B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/>
      <c r="B50" s="2" t="inlineStr">
        <is>
          <t>111001800660</t>
        </is>
      </c>
      <c r="C50" s="2" t="inlineStr">
        <is>
          <t>COLEGIO CIUDAD CHENGDU (IED) - SEDE PRINCIPAL</t>
        </is>
      </c>
      <c r="D50" s="2" t="inlineStr">
        <is>
          <t>ALAN JOEL GOMEZ SALCEDO</t>
        </is>
      </c>
      <c r="E50" s="2" t="inlineStr">
        <is>
          <t>1140933483</t>
        </is>
      </c>
      <c r="F50" s="2" t="n">
        <v>3</v>
      </c>
      <c r="G50" s="2" t="n">
        <v>301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B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C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/>
      <c r="B51" s="2" t="inlineStr">
        <is>
          <t>111001800660</t>
        </is>
      </c>
      <c r="C51" s="2" t="inlineStr">
        <is>
          <t>COLEGIO CIUDAD CHENGDU (IED) - SEDE PRINCIPAL</t>
        </is>
      </c>
      <c r="D51" s="2" t="inlineStr">
        <is>
          <t>ALAN JOEL GOMEZ SALCEDO</t>
        </is>
      </c>
      <c r="E51" s="2" t="inlineStr">
        <is>
          <t>1140933483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/>
      <c r="B52" s="2" t="inlineStr">
        <is>
          <t>111001800660</t>
        </is>
      </c>
      <c r="C52" s="2" t="inlineStr">
        <is>
          <t>COLEGIO CIUDAD CHENGDU (IED) - SEDE PRINCIPAL</t>
        </is>
      </c>
      <c r="D52" s="2" t="inlineStr">
        <is>
          <t>GEILY ZIRETH TRILLOS EGEA</t>
        </is>
      </c>
      <c r="E52" s="2" t="inlineStr">
        <is>
          <t>1028623222</t>
        </is>
      </c>
      <c r="F52" s="2" t="n">
        <v>3</v>
      </c>
      <c r="G52" s="2" t="n">
        <v>301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D</t>
        </is>
      </c>
      <c r="AF52" s="3" t="inlineStr">
        <is>
          <t>CORRECTO</t>
        </is>
      </c>
      <c r="AG52" s="2" t="inlineStr">
        <is>
          <t>D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D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/>
      <c r="B53" s="2" t="inlineStr">
        <is>
          <t>111001800660</t>
        </is>
      </c>
      <c r="C53" s="2" t="inlineStr">
        <is>
          <t>COLEGIO CIUDAD CHENGDU (IED) - SEDE PRINCIPAL</t>
        </is>
      </c>
      <c r="D53" s="2" t="inlineStr">
        <is>
          <t>GEILY ZIRETH TRILLOS EGEA</t>
        </is>
      </c>
      <c r="E53" s="2" t="inlineStr">
        <is>
          <t>1028623222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/>
      <c r="B54" s="2" t="inlineStr">
        <is>
          <t>111001800660</t>
        </is>
      </c>
      <c r="C54" s="2" t="inlineStr">
        <is>
          <t>COLEGIO CIUDAD CHENGDU (IED) - SEDE PRINCIPAL</t>
        </is>
      </c>
      <c r="D54" s="2" t="inlineStr">
        <is>
          <t>JAZMIN ARIANA MORA ARAUJO</t>
        </is>
      </c>
      <c r="E54" s="2" t="inlineStr">
        <is>
          <t>1033816947</t>
        </is>
      </c>
      <c r="F54" s="2" t="n">
        <v>3</v>
      </c>
      <c r="G54" s="2" t="n">
        <v>301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/>
      <c r="B55" s="2" t="inlineStr">
        <is>
          <t>111001800660</t>
        </is>
      </c>
      <c r="C55" s="2" t="inlineStr">
        <is>
          <t>COLEGIO CIUDAD CHENGDU (IED) - SEDE PRINCIPAL</t>
        </is>
      </c>
      <c r="D55" s="2" t="inlineStr">
        <is>
          <t>JAZMIN ARIANA MORA ARAUJO</t>
        </is>
      </c>
      <c r="E55" s="2" t="inlineStr">
        <is>
          <t>1033816947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/>
      <c r="B56" s="2" t="inlineStr">
        <is>
          <t>111001800660</t>
        </is>
      </c>
      <c r="C56" s="2" t="inlineStr">
        <is>
          <t>COLEGIO CIUDAD CHENGDU (IED) - SEDE PRINCIPAL</t>
        </is>
      </c>
      <c r="D56" s="2" t="inlineStr">
        <is>
          <t>AMAURY RAMIREZ BELTRAN</t>
        </is>
      </c>
      <c r="E56" s="2" t="inlineStr">
        <is>
          <t>1140933416</t>
        </is>
      </c>
      <c r="F56" s="2" t="n">
        <v>3</v>
      </c>
      <c r="G56" s="2" t="n">
        <v>301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C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C</t>
        </is>
      </c>
      <c r="AF56" s="4" t="inlineStr">
        <is>
          <t>INCORRECTO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A</t>
        </is>
      </c>
      <c r="AL56" s="3" t="inlineStr">
        <is>
          <t>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/>
      <c r="B57" s="2" t="inlineStr">
        <is>
          <t>111001800660</t>
        </is>
      </c>
      <c r="C57" s="2" t="inlineStr">
        <is>
          <t>COLEGIO CIUDAD CHENGDU (IED) - SEDE PRINCIPAL</t>
        </is>
      </c>
      <c r="D57" s="2" t="inlineStr">
        <is>
          <t>AMAURY RAMIREZ BELTRAN</t>
        </is>
      </c>
      <c r="E57" s="2" t="inlineStr">
        <is>
          <t>1140933416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/>
      <c r="B58" s="2" t="inlineStr">
        <is>
          <t>111001800660</t>
        </is>
      </c>
      <c r="C58" s="2" t="inlineStr">
        <is>
          <t>COLEGIO CIUDAD CHENGDU (IED) - SEDE PRINCIPAL</t>
        </is>
      </c>
      <c r="D58" s="2" t="inlineStr">
        <is>
          <t>LINSAYD FERNANDA MORA GARCIA</t>
        </is>
      </c>
      <c r="E58" s="2" t="inlineStr">
        <is>
          <t>1023041019</t>
        </is>
      </c>
      <c r="F58" s="2" t="n">
        <v>3</v>
      </c>
      <c r="G58" s="2" t="n">
        <v>301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B</t>
        </is>
      </c>
      <c r="X58" s="4" t="inlineStr">
        <is>
          <t>INCORRECTO</t>
        </is>
      </c>
      <c r="Y58" s="2" t="inlineStr">
        <is>
          <t>B</t>
        </is>
      </c>
      <c r="Z58" s="4" t="inlineStr">
        <is>
          <t>INCORRECTO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D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/>
      <c r="B59" s="2" t="inlineStr">
        <is>
          <t>111001800660</t>
        </is>
      </c>
      <c r="C59" s="2" t="inlineStr">
        <is>
          <t>COLEGIO CIUDAD CHENGDU (IED) - SEDE PRINCIPAL</t>
        </is>
      </c>
      <c r="D59" s="2" t="inlineStr">
        <is>
          <t>LINSAYD FERNANDA MORA GARCIA</t>
        </is>
      </c>
      <c r="E59" s="2" t="inlineStr">
        <is>
          <t>1023041019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/>
      <c r="AD59" s="4" t="inlineStr">
        <is>
          <t>INCORRECTO</t>
        </is>
      </c>
      <c r="AE59" s="2" t="inlineStr"/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/>
      <c r="B60" s="2" t="inlineStr">
        <is>
          <t>111001800660</t>
        </is>
      </c>
      <c r="C60" s="2" t="inlineStr">
        <is>
          <t>COLEGIO CIUDAD CHENGDU (IED) - SEDE PRINCIPAL</t>
        </is>
      </c>
      <c r="D60" s="2" t="inlineStr">
        <is>
          <t>DANNIELA SOFIA MONTOYA LADINO</t>
        </is>
      </c>
      <c r="E60" s="2" t="inlineStr">
        <is>
          <t>1029154383</t>
        </is>
      </c>
      <c r="F60" s="2" t="n">
        <v>3</v>
      </c>
      <c r="G60" s="2" t="n">
        <v>301</v>
      </c>
      <c r="H60" s="2" t="inlineStr">
        <is>
          <t>MATEMÁTICAS</t>
        </is>
      </c>
      <c r="I60" s="2" t="inlineStr">
        <is>
          <t>B</t>
        </is>
      </c>
      <c r="J60" s="4" t="inlineStr">
        <is>
          <t>INCORRECTO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4" t="inlineStr">
        <is>
          <t>INCORRECTO</t>
        </is>
      </c>
      <c r="O60" s="2" t="inlineStr">
        <is>
          <t>D</t>
        </is>
      </c>
      <c r="P60" s="4" t="inlineStr">
        <is>
          <t>INCORRECTO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/>
      <c r="B61" s="2" t="inlineStr">
        <is>
          <t>111001800660</t>
        </is>
      </c>
      <c r="C61" s="2" t="inlineStr">
        <is>
          <t>COLEGIO CIUDAD CHENGDU (IED) - SEDE PRINCIPAL</t>
        </is>
      </c>
      <c r="D61" s="2" t="inlineStr">
        <is>
          <t>DANNIELA SOFIA MONTOYA LADINO</t>
        </is>
      </c>
      <c r="E61" s="2" t="inlineStr">
        <is>
          <t>1029154383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C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/>
      <c r="B62" s="2" t="inlineStr">
        <is>
          <t>111001800660</t>
        </is>
      </c>
      <c r="C62" s="2" t="inlineStr">
        <is>
          <t>COLEGIO CIUDAD CHENGDU (IED) - SEDE PRINCIPAL</t>
        </is>
      </c>
      <c r="D62" s="2" t="inlineStr">
        <is>
          <t>HELEN NAHIARA CAICEDO PALOMEQUE</t>
        </is>
      </c>
      <c r="E62" s="2" t="inlineStr">
        <is>
          <t>1029296648</t>
        </is>
      </c>
      <c r="F62" s="2" t="n">
        <v>3</v>
      </c>
      <c r="G62" s="2" t="n">
        <v>301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A</t>
        </is>
      </c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D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/>
      <c r="B63" s="2" t="inlineStr">
        <is>
          <t>111001800660</t>
        </is>
      </c>
      <c r="C63" s="2" t="inlineStr">
        <is>
          <t>COLEGIO CIUDAD CHENGDU (IED) - SEDE PRINCIPAL</t>
        </is>
      </c>
      <c r="D63" s="2" t="inlineStr">
        <is>
          <t>HELEN NAHIARA CAICEDO PALOMEQUE</t>
        </is>
      </c>
      <c r="E63" s="2" t="inlineStr">
        <is>
          <t>1029296648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/>
      <c r="B64" s="2" t="inlineStr">
        <is>
          <t>111001800660</t>
        </is>
      </c>
      <c r="C64" s="2" t="inlineStr">
        <is>
          <t>COLEGIO CIUDAD CHENGDU (IED) - SEDE PRINCIPAL</t>
        </is>
      </c>
      <c r="D64" s="2" t="inlineStr">
        <is>
          <t>YARITH ELIAN PERILLA CAÑON</t>
        </is>
      </c>
      <c r="E64" s="2" t="inlineStr">
        <is>
          <t>1033816656</t>
        </is>
      </c>
      <c r="F64" s="2" t="n">
        <v>3</v>
      </c>
      <c r="G64" s="2" t="n">
        <v>301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C</t>
        </is>
      </c>
      <c r="L64" s="4" t="inlineStr">
        <is>
          <t>INCORRECTO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/>
      <c r="B65" s="2" t="inlineStr">
        <is>
          <t>111001800660</t>
        </is>
      </c>
      <c r="C65" s="2" t="inlineStr">
        <is>
          <t>COLEGIO CIUDAD CHENGDU (IED) - SEDE PRINCIPAL</t>
        </is>
      </c>
      <c r="D65" s="2" t="inlineStr">
        <is>
          <t>YARITH ELIAN PERILLA CAÑON</t>
        </is>
      </c>
      <c r="E65" s="2" t="inlineStr">
        <is>
          <t>1033816656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C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/>
      <c r="B66" s="2" t="inlineStr">
        <is>
          <t>111001800660</t>
        </is>
      </c>
      <c r="C66" s="2" t="inlineStr">
        <is>
          <t>COLEGIO CIUDAD CHENGDU (IED) - SEDE PRINCIPAL</t>
        </is>
      </c>
      <c r="D66" s="2" t="inlineStr">
        <is>
          <t>MARIANA LUCIA RINCON RAMIREZ</t>
        </is>
      </c>
      <c r="E66" s="2" t="inlineStr">
        <is>
          <t>1023038217</t>
        </is>
      </c>
      <c r="F66" s="2" t="n">
        <v>3</v>
      </c>
      <c r="G66" s="2" t="n">
        <v>301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4" t="inlineStr">
        <is>
          <t>INCORRECTO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C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D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/>
      <c r="B67" s="2" t="inlineStr">
        <is>
          <t>111001800660</t>
        </is>
      </c>
      <c r="C67" s="2" t="inlineStr">
        <is>
          <t>COLEGIO CIUDAD CHENGDU (IED) - SEDE PRINCIPAL</t>
        </is>
      </c>
      <c r="D67" s="2" t="inlineStr">
        <is>
          <t>MARIANA LUCIA RINCON RAMIREZ</t>
        </is>
      </c>
      <c r="E67" s="2" t="inlineStr">
        <is>
          <t>1023038217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A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A</t>
        </is>
      </c>
      <c r="AJ67" s="4" t="inlineStr">
        <is>
          <t>INCORRECTO</t>
        </is>
      </c>
      <c r="AK67" s="2" t="inlineStr">
        <is>
          <t>B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/>
      <c r="B68" s="2" t="inlineStr">
        <is>
          <t>111001800660</t>
        </is>
      </c>
      <c r="C68" s="2" t="inlineStr">
        <is>
          <t>COLEGIO CIUDAD CHENGDU (IED) - SEDE PRINCIPAL</t>
        </is>
      </c>
      <c r="D68" s="2" t="inlineStr">
        <is>
          <t>MARIAM ISABELLA RUIZ CORREA</t>
        </is>
      </c>
      <c r="E68" s="2" t="inlineStr">
        <is>
          <t>1022438315</t>
        </is>
      </c>
      <c r="F68" s="2" t="n">
        <v>3</v>
      </c>
      <c r="G68" s="2" t="n">
        <v>301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D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D</t>
        </is>
      </c>
      <c r="AH68" s="4" t="inlineStr">
        <is>
          <t>INCORRECTO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C</t>
        </is>
      </c>
      <c r="AL68" s="4" t="inlineStr">
        <is>
          <t>INCORRECTO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/>
      <c r="B69" s="2" t="inlineStr">
        <is>
          <t>111001800660</t>
        </is>
      </c>
      <c r="C69" s="2" t="inlineStr">
        <is>
          <t>COLEGIO CIUDAD CHENGDU (IED) - SEDE PRINCIPAL</t>
        </is>
      </c>
      <c r="D69" s="2" t="inlineStr">
        <is>
          <t>MARIAM ISABELLA RUIZ CORREA</t>
        </is>
      </c>
      <c r="E69" s="2" t="inlineStr">
        <is>
          <t>1022438315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D</t>
        </is>
      </c>
      <c r="N69" s="4" t="inlineStr">
        <is>
          <t>INCORRECTO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B</t>
        </is>
      </c>
      <c r="X69" s="4" t="inlineStr">
        <is>
          <t>INCORRECTO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A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/>
      <c r="B70" s="2" t="inlineStr">
        <is>
          <t>111001800660</t>
        </is>
      </c>
      <c r="C70" s="2" t="inlineStr">
        <is>
          <t>COLEGIO CIUDAD CHENGDU (IED) - SEDE PRINCIPAL</t>
        </is>
      </c>
      <c r="D70" s="2" t="inlineStr">
        <is>
          <t>DEREK SALOMON VARGAS LIZARAZO</t>
        </is>
      </c>
      <c r="E70" s="2" t="inlineStr">
        <is>
          <t>1233910664</t>
        </is>
      </c>
      <c r="F70" s="2" t="n">
        <v>3</v>
      </c>
      <c r="G70" s="2" t="n">
        <v>301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A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D</t>
        </is>
      </c>
      <c r="Z70" s="4" t="inlineStr">
        <is>
          <t>INCORRECTO</t>
        </is>
      </c>
      <c r="AA70" s="2" t="inlineStr">
        <is>
          <t>D</t>
        </is>
      </c>
      <c r="AB70" s="4" t="inlineStr">
        <is>
          <t>INCORRECTO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D</t>
        </is>
      </c>
      <c r="AF70" s="3" t="inlineStr">
        <is>
          <t>CORRECTO</t>
        </is>
      </c>
      <c r="AG70" s="2" t="inlineStr">
        <is>
          <t>D</t>
        </is>
      </c>
      <c r="AH70" s="4" t="inlineStr">
        <is>
          <t>INCORRECTO</t>
        </is>
      </c>
      <c r="AI70" s="2" t="inlineStr">
        <is>
          <t>A</t>
        </is>
      </c>
      <c r="AJ70" s="4" t="inlineStr">
        <is>
          <t>INCORRECTO</t>
        </is>
      </c>
      <c r="AK70" s="2" t="inlineStr">
        <is>
          <t>B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/>
      <c r="B71" s="2" t="inlineStr">
        <is>
          <t>111001800660</t>
        </is>
      </c>
      <c r="C71" s="2" t="inlineStr">
        <is>
          <t>COLEGIO CIUDAD CHENGDU (IED) - SEDE PRINCIPAL</t>
        </is>
      </c>
      <c r="D71" s="2" t="inlineStr">
        <is>
          <t>DEREK SALOMON VARGAS LIZARAZO</t>
        </is>
      </c>
      <c r="E71" s="2" t="inlineStr">
        <is>
          <t>1233910664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/>
      <c r="AF71" s="4" t="inlineStr">
        <is>
          <t>INCORRECTO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/>
      <c r="B72" s="2" t="inlineStr">
        <is>
          <t>111001800660</t>
        </is>
      </c>
      <c r="C72" s="2" t="inlineStr">
        <is>
          <t>COLEGIO CIUDAD CHENGDU (IED) - SEDE PRINCIPAL.</t>
        </is>
      </c>
      <c r="D72" s="2" t="inlineStr">
        <is>
          <t>JUAN SEBASTIAN SUAREZ MONDRAGON</t>
        </is>
      </c>
      <c r="E72" s="2" t="inlineStr">
        <is>
          <t>1023975851</t>
        </is>
      </c>
      <c r="F72" s="2" t="n">
        <v>3</v>
      </c>
      <c r="G72" s="2" t="n">
        <v>301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B</t>
        </is>
      </c>
      <c r="P72" s="4" t="inlineStr">
        <is>
          <t>INCORRECTO</t>
        </is>
      </c>
      <c r="Q72" s="2" t="inlineStr">
        <is>
          <t>A</t>
        </is>
      </c>
      <c r="R72" s="4" t="inlineStr">
        <is>
          <t>INCORRECTO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B</t>
        </is>
      </c>
      <c r="Z72" s="4" t="inlineStr">
        <is>
          <t>INCORRECTO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D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B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/>
      <c r="B73" s="2" t="inlineStr">
        <is>
          <t>111001800660</t>
        </is>
      </c>
      <c r="C73" s="2" t="inlineStr">
        <is>
          <t>COLEGIO CIUDAD CHENGDU (IED) - SEDE PRINCIPAL.</t>
        </is>
      </c>
      <c r="D73" s="2" t="inlineStr">
        <is>
          <t>JUAN SEBASTIAN SUAREZ MONDRAGON</t>
        </is>
      </c>
      <c r="E73" s="2" t="inlineStr">
        <is>
          <t>1023975851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A</t>
        </is>
      </c>
      <c r="R73" s="4" t="inlineStr">
        <is>
          <t>INCORRECTO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A</t>
        </is>
      </c>
      <c r="AD73" s="4" t="inlineStr">
        <is>
          <t>INCORRECTO</t>
        </is>
      </c>
      <c r="AE73" s="2" t="inlineStr">
        <is>
          <t>D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D</t>
        </is>
      </c>
      <c r="AL73" s="4" t="inlineStr">
        <is>
          <t>INCORRECTO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/>
      <c r="B74" s="2" t="inlineStr">
        <is>
          <t>111001800660</t>
        </is>
      </c>
      <c r="C74" s="2" t="inlineStr">
        <is>
          <t>COLEGIO CIUDAD CHENGDU (IED) - SEDE PRINCIPAL</t>
        </is>
      </c>
      <c r="D74" s="2" t="inlineStr">
        <is>
          <t>ANDRES FELIPE TRIANA LOPEZ</t>
        </is>
      </c>
      <c r="E74" s="2" t="inlineStr">
        <is>
          <t>1033818804</t>
        </is>
      </c>
      <c r="F74" s="2" t="n">
        <v>3</v>
      </c>
      <c r="G74" s="2" t="n">
        <v>301</v>
      </c>
      <c r="H74" s="2" t="inlineStr">
        <is>
          <t>MATEMÁTICAS</t>
        </is>
      </c>
      <c r="I74" s="2" t="inlineStr">
        <is>
          <t>D</t>
        </is>
      </c>
      <c r="J74" s="3" t="inlineStr">
        <is>
          <t>CORRECTO</t>
        </is>
      </c>
      <c r="K74" s="2" t="inlineStr">
        <is>
          <t>D</t>
        </is>
      </c>
      <c r="L74" s="4" t="inlineStr">
        <is>
          <t>INCORRECTO</t>
        </is>
      </c>
      <c r="M74" s="2" t="inlineStr">
        <is>
          <t>C</t>
        </is>
      </c>
      <c r="N74" s="3" t="inlineStr">
        <is>
          <t>CORRECTO</t>
        </is>
      </c>
      <c r="O74" s="2" t="inlineStr">
        <is>
          <t>D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A</t>
        </is>
      </c>
      <c r="T74" s="4" t="inlineStr">
        <is>
          <t>INCORRECTO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4" t="inlineStr">
        <is>
          <t>INCORRECTO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D</t>
        </is>
      </c>
      <c r="AB74" s="4" t="inlineStr">
        <is>
          <t>INCORRECTO</t>
        </is>
      </c>
      <c r="AC74" s="2" t="inlineStr">
        <is>
          <t>D</t>
        </is>
      </c>
      <c r="AD74" s="3" t="inlineStr">
        <is>
          <t>CORRECTO</t>
        </is>
      </c>
      <c r="AE74" s="2" t="inlineStr">
        <is>
          <t>D</t>
        </is>
      </c>
      <c r="AF74" s="3" t="inlineStr">
        <is>
          <t>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D</t>
        </is>
      </c>
      <c r="AJ74" s="3" t="inlineStr">
        <is>
          <t>CORRECTO</t>
        </is>
      </c>
      <c r="AK74" s="2" t="inlineStr">
        <is>
          <t>A</t>
        </is>
      </c>
      <c r="AL74" s="3" t="inlineStr">
        <is>
          <t>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/>
      <c r="B75" s="2" t="inlineStr">
        <is>
          <t>111001800660</t>
        </is>
      </c>
      <c r="C75" s="2" t="inlineStr">
        <is>
          <t>COLEGIO CIUDAD CHENGDU (IED) - SEDE PRINCIPAL</t>
        </is>
      </c>
      <c r="D75" s="2" t="inlineStr">
        <is>
          <t>ANDRES FELIPE TRIANA LOPEZ</t>
        </is>
      </c>
      <c r="E75" s="2" t="inlineStr">
        <is>
          <t>1033818804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A</t>
        </is>
      </c>
      <c r="AH75" s="3" t="inlineStr">
        <is>
          <t>CORRECTO</t>
        </is>
      </c>
      <c r="AI75" s="2" t="inlineStr">
        <is>
          <t>C</t>
        </is>
      </c>
      <c r="AJ75" s="4" t="inlineStr">
        <is>
          <t>INCORRECTO</t>
        </is>
      </c>
      <c r="AK75" s="2" t="inlineStr">
        <is>
          <t>B</t>
        </is>
      </c>
      <c r="AL75" s="4" t="inlineStr">
        <is>
          <t>INCORRECTO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/>
      <c r="B76" s="2" t="inlineStr">
        <is>
          <t>111001800660</t>
        </is>
      </c>
      <c r="C76" s="2" t="inlineStr">
        <is>
          <t>COLEGIO CIUDAD CHENGDU (IED) - SEDE PRINCIPAL</t>
        </is>
      </c>
      <c r="D76" s="2" t="inlineStr">
        <is>
          <t>JUAN CAMILO CORREDOR DAZA</t>
        </is>
      </c>
      <c r="E76" s="2" t="inlineStr">
        <is>
          <t>1023035707</t>
        </is>
      </c>
      <c r="F76" s="2" t="n">
        <v>3</v>
      </c>
      <c r="G76" s="2" t="n">
        <v>301</v>
      </c>
      <c r="H76" s="2" t="inlineStr">
        <is>
          <t>MATEMÁTICAS</t>
        </is>
      </c>
      <c r="I76" s="2" t="inlineStr">
        <is>
          <t>A</t>
        </is>
      </c>
      <c r="J76" s="4" t="inlineStr">
        <is>
          <t>INCORRECTO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C</t>
        </is>
      </c>
      <c r="N76" s="3" t="inlineStr">
        <is>
          <t>CORRECTO</t>
        </is>
      </c>
      <c r="O76" s="2" t="inlineStr">
        <is>
          <t>A</t>
        </is>
      </c>
      <c r="P76" s="4" t="inlineStr">
        <is>
          <t>INCORRECTO</t>
        </is>
      </c>
      <c r="Q76" s="2" t="inlineStr">
        <is>
          <t>D</t>
        </is>
      </c>
      <c r="R76" s="4" t="inlineStr">
        <is>
          <t>INCORRECTO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B</t>
        </is>
      </c>
      <c r="X76" s="4" t="inlineStr">
        <is>
          <t>INCORRECTO</t>
        </is>
      </c>
      <c r="Y76" s="2" t="inlineStr">
        <is>
          <t>A</t>
        </is>
      </c>
      <c r="Z76" s="4" t="inlineStr">
        <is>
          <t>INCORRECTO</t>
        </is>
      </c>
      <c r="AA76" s="2" t="inlineStr">
        <is>
          <t>D</t>
        </is>
      </c>
      <c r="AB76" s="4" t="inlineStr">
        <is>
          <t>INCORRECTO</t>
        </is>
      </c>
      <c r="AC76" s="2" t="inlineStr">
        <is>
          <t>D</t>
        </is>
      </c>
      <c r="AD76" s="3" t="inlineStr">
        <is>
          <t>CORRECTO</t>
        </is>
      </c>
      <c r="AE76" s="2" t="inlineStr">
        <is>
          <t>D</t>
        </is>
      </c>
      <c r="AF76" s="3" t="inlineStr">
        <is>
          <t>CORRECTO</t>
        </is>
      </c>
      <c r="AG76" s="2" t="inlineStr">
        <is>
          <t>A</t>
        </is>
      </c>
      <c r="AH76" s="4" t="inlineStr">
        <is>
          <t>INCORRECTO</t>
        </is>
      </c>
      <c r="AI76" s="2" t="inlineStr">
        <is>
          <t>B</t>
        </is>
      </c>
      <c r="AJ76" s="4" t="inlineStr">
        <is>
          <t>INCORRECTO</t>
        </is>
      </c>
      <c r="AK76" s="2" t="inlineStr">
        <is>
          <t>A</t>
        </is>
      </c>
      <c r="AL76" s="3" t="inlineStr">
        <is>
          <t>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/>
      <c r="B77" s="2" t="inlineStr">
        <is>
          <t>111001800660</t>
        </is>
      </c>
      <c r="C77" s="2" t="inlineStr">
        <is>
          <t>COLEGIO CIUDAD CHENGDU (IED) - SEDE PRINCIPAL</t>
        </is>
      </c>
      <c r="D77" s="2" t="inlineStr">
        <is>
          <t>JUAN CAMILO CORREDOR DAZA</t>
        </is>
      </c>
      <c r="E77" s="2" t="inlineStr">
        <is>
          <t>1023035707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A</t>
        </is>
      </c>
      <c r="L77" s="4" t="inlineStr">
        <is>
          <t>INCORRECTO</t>
        </is>
      </c>
      <c r="M77" s="2" t="inlineStr">
        <is>
          <t>C</t>
        </is>
      </c>
      <c r="N77" s="4" t="inlineStr">
        <is>
          <t>INCORRECTO</t>
        </is>
      </c>
      <c r="O77" s="2" t="inlineStr">
        <is>
          <t>B</t>
        </is>
      </c>
      <c r="P77" s="4" t="inlineStr">
        <is>
          <t>INCORRECTO</t>
        </is>
      </c>
      <c r="Q77" s="2" t="inlineStr">
        <is>
          <t>A</t>
        </is>
      </c>
      <c r="R77" s="4" t="inlineStr">
        <is>
          <t>INCORRECTO</t>
        </is>
      </c>
      <c r="S77" s="2" t="inlineStr">
        <is>
          <t>A</t>
        </is>
      </c>
      <c r="T77" s="4" t="inlineStr">
        <is>
          <t>INCORRECTO</t>
        </is>
      </c>
      <c r="U77" s="2" t="inlineStr">
        <is>
          <t>B</t>
        </is>
      </c>
      <c r="V77" s="4" t="inlineStr">
        <is>
          <t>INCORRECTO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4" t="inlineStr">
        <is>
          <t>INCORRECTO</t>
        </is>
      </c>
      <c r="AA77" s="2" t="inlineStr">
        <is>
          <t>B</t>
        </is>
      </c>
      <c r="AB77" s="4" t="inlineStr">
        <is>
          <t>INCORRECTO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A</t>
        </is>
      </c>
      <c r="AF77" s="4" t="inlineStr">
        <is>
          <t>INCORRECTO</t>
        </is>
      </c>
      <c r="AG77" s="2" t="inlineStr">
        <is>
          <t>A</t>
        </is>
      </c>
      <c r="AH77" s="3" t="inlineStr">
        <is>
          <t>CORRECTO</t>
        </is>
      </c>
      <c r="AI77" s="2" t="inlineStr">
        <is>
          <t>A</t>
        </is>
      </c>
      <c r="AJ77" s="4" t="inlineStr">
        <is>
          <t>INCORRECTO</t>
        </is>
      </c>
      <c r="AK77" s="2" t="inlineStr">
        <is>
          <t>B</t>
        </is>
      </c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  <row r="78">
      <c r="A78" s="2" t="inlineStr"/>
      <c r="B78" s="2" t="inlineStr">
        <is>
          <t>111001800660</t>
        </is>
      </c>
      <c r="C78" s="2" t="inlineStr">
        <is>
          <t>COLEGIO CIUDAD CHENGDU (IED) - SEDE PRINCIPAL</t>
        </is>
      </c>
      <c r="D78" s="2" t="inlineStr">
        <is>
          <t>DILAN MATEO MENDOZA DUARTE</t>
        </is>
      </c>
      <c r="E78" s="2" t="inlineStr">
        <is>
          <t>1222213012</t>
        </is>
      </c>
      <c r="F78" s="2" t="n">
        <v>3</v>
      </c>
      <c r="G78" s="2" t="n">
        <v>301</v>
      </c>
      <c r="H78" s="2" t="inlineStr">
        <is>
          <t>MATEMÁTICAS</t>
        </is>
      </c>
      <c r="I78" s="2" t="inlineStr">
        <is>
          <t>D</t>
        </is>
      </c>
      <c r="J78" s="3" t="inlineStr">
        <is>
          <t>CORRECTO</t>
        </is>
      </c>
      <c r="K78" s="2" t="inlineStr">
        <is>
          <t>B</t>
        </is>
      </c>
      <c r="L78" s="3" t="inlineStr">
        <is>
          <t>CORRECTO</t>
        </is>
      </c>
      <c r="M78" s="2" t="inlineStr">
        <is>
          <t>C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4" t="inlineStr">
        <is>
          <t>INCORRECTO</t>
        </is>
      </c>
      <c r="S78" s="2" t="inlineStr">
        <is>
          <t>B</t>
        </is>
      </c>
      <c r="T78" s="4" t="inlineStr">
        <is>
          <t>INCORRECTO</t>
        </is>
      </c>
      <c r="U78" s="2" t="inlineStr">
        <is>
          <t>D</t>
        </is>
      </c>
      <c r="V78" s="4" t="inlineStr">
        <is>
          <t>INCORRECTO</t>
        </is>
      </c>
      <c r="W78" s="2" t="inlineStr">
        <is>
          <t>B</t>
        </is>
      </c>
      <c r="X78" s="4" t="inlineStr">
        <is>
          <t>INCORRECTO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3" t="inlineStr">
        <is>
          <t>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C</t>
        </is>
      </c>
      <c r="AH78" s="3" t="inlineStr">
        <is>
          <t>CORRECTO</t>
        </is>
      </c>
      <c r="AI78" s="2" t="inlineStr">
        <is>
          <t>D</t>
        </is>
      </c>
      <c r="AJ78" s="3" t="inlineStr">
        <is>
          <t>CORRECTO</t>
        </is>
      </c>
      <c r="AK78" s="2" t="inlineStr">
        <is>
          <t>D</t>
        </is>
      </c>
      <c r="AL78" s="4" t="inlineStr">
        <is>
          <t>INCORRECTO</t>
        </is>
      </c>
      <c r="AM78" s="5">
        <f>COUNTIF(J78:AL78,"CORRECTO")</f>
        <v/>
      </c>
      <c r="AN78" s="5">
        <f>COUNTIF(J78:AL78,"INCORRECTO")</f>
        <v/>
      </c>
      <c r="AO78" s="5" t="n">
        <v>15</v>
      </c>
      <c r="AP78" s="6">
        <f>AM78/AO78</f>
        <v/>
      </c>
    </row>
    <row r="79">
      <c r="A79" s="2" t="inlineStr"/>
      <c r="B79" s="2" t="inlineStr">
        <is>
          <t>111001800660</t>
        </is>
      </c>
      <c r="C79" s="2" t="inlineStr">
        <is>
          <t>COLEGIO CIUDAD CHENGDU (IED) - SEDE PRINCIPAL</t>
        </is>
      </c>
      <c r="D79" s="2" t="inlineStr">
        <is>
          <t>DILAN MATEO MENDOZA DUARTE</t>
        </is>
      </c>
      <c r="E79" s="2" t="inlineStr">
        <is>
          <t>1222213012</t>
        </is>
      </c>
      <c r="F79" s="2" t="n">
        <v>3</v>
      </c>
      <c r="G79" s="2" t="n">
        <v>301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A</t>
        </is>
      </c>
      <c r="L79" s="4" t="inlineStr">
        <is>
          <t>INCORRECTO</t>
        </is>
      </c>
      <c r="M79" s="2" t="inlineStr">
        <is>
          <t>C</t>
        </is>
      </c>
      <c r="N79" s="4" t="inlineStr">
        <is>
          <t>INCORRECTO</t>
        </is>
      </c>
      <c r="O79" s="2" t="inlineStr">
        <is>
          <t>B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B</t>
        </is>
      </c>
      <c r="T79" s="3" t="inlineStr">
        <is>
          <t>CORRECTO</t>
        </is>
      </c>
      <c r="U79" s="2" t="inlineStr">
        <is>
          <t>C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>
        <is>
          <t>B</t>
        </is>
      </c>
      <c r="Z79" s="3" t="inlineStr">
        <is>
          <t>CORRECTO</t>
        </is>
      </c>
      <c r="AA79" s="2" t="inlineStr">
        <is>
          <t>C</t>
        </is>
      </c>
      <c r="AB79" s="3" t="inlineStr">
        <is>
          <t>CORRECTO</t>
        </is>
      </c>
      <c r="AC79" s="2" t="inlineStr">
        <is>
          <t>B</t>
        </is>
      </c>
      <c r="AD79" s="4" t="inlineStr">
        <is>
          <t>INCORRECTO</t>
        </is>
      </c>
      <c r="AE79" s="2" t="inlineStr">
        <is>
          <t>C</t>
        </is>
      </c>
      <c r="AF79" s="4" t="inlineStr">
        <is>
          <t>INCORRECTO</t>
        </is>
      </c>
      <c r="AG79" s="2" t="inlineStr">
        <is>
          <t>B</t>
        </is>
      </c>
      <c r="AH79" s="4" t="inlineStr">
        <is>
          <t>INCORRECTO</t>
        </is>
      </c>
      <c r="AI79" s="2" t="inlineStr">
        <is>
          <t>C</t>
        </is>
      </c>
      <c r="AJ79" s="4" t="inlineStr">
        <is>
          <t>INCORRECTO</t>
        </is>
      </c>
      <c r="AK79" s="2" t="inlineStr">
        <is>
          <t>A</t>
        </is>
      </c>
      <c r="AL79" s="3" t="inlineStr">
        <is>
          <t>CORRECTO</t>
        </is>
      </c>
      <c r="AM79" s="5">
        <f>COUNTIF(J79:AL79,"CORRECTO")</f>
        <v/>
      </c>
      <c r="AN79" s="5">
        <f>COUNTIF(J79:AL79,"INCORRECTO")</f>
        <v/>
      </c>
      <c r="AO79" s="5" t="n">
        <v>15</v>
      </c>
      <c r="AP79" s="6">
        <f>AM79/AO79</f>
        <v/>
      </c>
    </row>
    <row r="80">
      <c r="A80" s="2" t="inlineStr"/>
      <c r="B80" s="2" t="inlineStr">
        <is>
          <t>111001800660</t>
        </is>
      </c>
      <c r="C80" s="2" t="inlineStr">
        <is>
          <t>COLEGIO CIUDAD CHENGDU (IED) - SEDE PRINCIPAL</t>
        </is>
      </c>
      <c r="D80" s="2" t="inlineStr">
        <is>
          <t>BRANDON SMITH SEGURA PLAZAS</t>
        </is>
      </c>
      <c r="E80" s="2" t="inlineStr">
        <is>
          <t>1082160530</t>
        </is>
      </c>
      <c r="F80" s="2" t="n">
        <v>3</v>
      </c>
      <c r="G80" s="2" t="n">
        <v>301</v>
      </c>
      <c r="H80" s="2" t="inlineStr">
        <is>
          <t>MATEMÁTICAS</t>
        </is>
      </c>
      <c r="I80" s="2" t="inlineStr">
        <is>
          <t>D</t>
        </is>
      </c>
      <c r="J80" s="3" t="inlineStr">
        <is>
          <t>CORRECTO</t>
        </is>
      </c>
      <c r="K80" s="2" t="inlineStr">
        <is>
          <t>B</t>
        </is>
      </c>
      <c r="L80" s="3" t="inlineStr">
        <is>
          <t>CORRECTO</t>
        </is>
      </c>
      <c r="M80" s="2" t="inlineStr">
        <is>
          <t>A</t>
        </is>
      </c>
      <c r="N80" s="4" t="inlineStr">
        <is>
          <t>INCORRECTO</t>
        </is>
      </c>
      <c r="O80" s="2" t="inlineStr">
        <is>
          <t>A</t>
        </is>
      </c>
      <c r="P80" s="4" t="inlineStr">
        <is>
          <t>INCORRECTO</t>
        </is>
      </c>
      <c r="Q80" s="2" t="inlineStr">
        <is>
          <t>A</t>
        </is>
      </c>
      <c r="R80" s="4" t="inlineStr">
        <is>
          <t>INCORRECTO</t>
        </is>
      </c>
      <c r="S80" s="2" t="inlineStr">
        <is>
          <t>A</t>
        </is>
      </c>
      <c r="T80" s="4" t="inlineStr">
        <is>
          <t>INCORRECTO</t>
        </is>
      </c>
      <c r="U80" s="2" t="inlineStr">
        <is>
          <t>C</t>
        </is>
      </c>
      <c r="V80" s="4" t="inlineStr">
        <is>
          <t>INCORRECTO</t>
        </is>
      </c>
      <c r="W80" s="2" t="inlineStr">
        <is>
          <t>A</t>
        </is>
      </c>
      <c r="X80" s="4" t="inlineStr">
        <is>
          <t>INCORRECTO</t>
        </is>
      </c>
      <c r="Y80" s="2" t="inlineStr">
        <is>
          <t>A</t>
        </is>
      </c>
      <c r="Z80" s="4" t="inlineStr">
        <is>
          <t>INCORRECTO</t>
        </is>
      </c>
      <c r="AA80" s="2" t="inlineStr">
        <is>
          <t>D</t>
        </is>
      </c>
      <c r="AB80" s="4" t="inlineStr">
        <is>
          <t>INCORRECTO</t>
        </is>
      </c>
      <c r="AC80" s="2" t="inlineStr">
        <is>
          <t>D</t>
        </is>
      </c>
      <c r="AD80" s="3" t="inlineStr">
        <is>
          <t>CORRECTO</t>
        </is>
      </c>
      <c r="AE80" s="2" t="inlineStr">
        <is>
          <t>C</t>
        </is>
      </c>
      <c r="AF80" s="4" t="inlineStr">
        <is>
          <t>INCORRECTO</t>
        </is>
      </c>
      <c r="AG80" s="2" t="inlineStr">
        <is>
          <t>B</t>
        </is>
      </c>
      <c r="AH80" s="4" t="inlineStr">
        <is>
          <t>INCORRECTO</t>
        </is>
      </c>
      <c r="AI80" s="2" t="inlineStr">
        <is>
          <t>A</t>
        </is>
      </c>
      <c r="AJ80" s="4" t="inlineStr">
        <is>
          <t>INCORRECTO</t>
        </is>
      </c>
      <c r="AK80" s="2" t="inlineStr">
        <is>
          <t>A</t>
        </is>
      </c>
      <c r="AL80" s="3" t="inlineStr">
        <is>
          <t>CORRECTO</t>
        </is>
      </c>
      <c r="AM80" s="5">
        <f>COUNTIF(J80:AL80,"CORRECTO")</f>
        <v/>
      </c>
      <c r="AN80" s="5">
        <f>COUNTIF(J80:AL80,"INCORRECTO")</f>
        <v/>
      </c>
      <c r="AO80" s="5" t="n">
        <v>15</v>
      </c>
      <c r="AP80" s="6">
        <f>AM80/AO80</f>
        <v/>
      </c>
    </row>
    <row r="81">
      <c r="A81" s="2" t="inlineStr"/>
      <c r="B81" s="2" t="inlineStr">
        <is>
          <t>111001800660</t>
        </is>
      </c>
      <c r="C81" s="2" t="inlineStr">
        <is>
          <t>COLEGIO CIUDAD CHENGDU (IED) - SEDE PRINCIPAL</t>
        </is>
      </c>
      <c r="D81" s="2" t="inlineStr">
        <is>
          <t>BRANDON SMITH SEGURA PLAZAS</t>
        </is>
      </c>
      <c r="E81" s="2" t="inlineStr">
        <is>
          <t>1082160530</t>
        </is>
      </c>
      <c r="F81" s="2" t="n">
        <v>3</v>
      </c>
      <c r="G81" s="2" t="n">
        <v>301</v>
      </c>
      <c r="H81" s="2" t="inlineStr">
        <is>
          <t>LENGUAJE</t>
        </is>
      </c>
      <c r="I81" s="2" t="inlineStr">
        <is>
          <t>B</t>
        </is>
      </c>
      <c r="J81" s="3" t="inlineStr">
        <is>
          <t>CORRECTO</t>
        </is>
      </c>
      <c r="K81" s="2" t="inlineStr">
        <is>
          <t>D</t>
        </is>
      </c>
      <c r="L81" s="4" t="inlineStr">
        <is>
          <t>INCORRECTO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C</t>
        </is>
      </c>
      <c r="P81" s="3" t="inlineStr">
        <is>
          <t>CORRECTO</t>
        </is>
      </c>
      <c r="Q81" s="2" t="inlineStr">
        <is>
          <t>C</t>
        </is>
      </c>
      <c r="R81" s="3" t="inlineStr">
        <is>
          <t>CORRECTO</t>
        </is>
      </c>
      <c r="S81" s="2" t="inlineStr">
        <is>
          <t>B</t>
        </is>
      </c>
      <c r="T81" s="3" t="inlineStr">
        <is>
          <t>CORRECTO</t>
        </is>
      </c>
      <c r="U81" s="2" t="inlineStr">
        <is>
          <t>C</t>
        </is>
      </c>
      <c r="V81" s="3" t="inlineStr">
        <is>
          <t>CORRECTO</t>
        </is>
      </c>
      <c r="W81" s="2" t="inlineStr">
        <is>
          <t>B</t>
        </is>
      </c>
      <c r="X81" s="4" t="inlineStr">
        <is>
          <t>INCORRECTO</t>
        </is>
      </c>
      <c r="Y81" s="2" t="inlineStr">
        <is>
          <t>C</t>
        </is>
      </c>
      <c r="Z81" s="4" t="inlineStr">
        <is>
          <t>INCORRECTO</t>
        </is>
      </c>
      <c r="AA81" s="2" t="inlineStr">
        <is>
          <t>C</t>
        </is>
      </c>
      <c r="AB81" s="3" t="inlineStr">
        <is>
          <t>CORRECTO</t>
        </is>
      </c>
      <c r="AC81" s="2" t="inlineStr">
        <is>
          <t>D</t>
        </is>
      </c>
      <c r="AD81" s="4" t="inlineStr">
        <is>
          <t>INCORRECTO</t>
        </is>
      </c>
      <c r="AE81" s="2" t="inlineStr">
        <is>
          <t>C</t>
        </is>
      </c>
      <c r="AF81" s="4" t="inlineStr">
        <is>
          <t>INCORRECTO</t>
        </is>
      </c>
      <c r="AG81" s="2" t="inlineStr">
        <is>
          <t>B</t>
        </is>
      </c>
      <c r="AH81" s="4" t="inlineStr">
        <is>
          <t>INCORRECTO</t>
        </is>
      </c>
      <c r="AI81" s="2" t="inlineStr">
        <is>
          <t>B</t>
        </is>
      </c>
      <c r="AJ81" s="3" t="inlineStr">
        <is>
          <t>CORRECTO</t>
        </is>
      </c>
      <c r="AK81" s="2" t="inlineStr">
        <is>
          <t>C</t>
        </is>
      </c>
      <c r="AL81" s="4" t="inlineStr">
        <is>
          <t>INCORRECTO</t>
        </is>
      </c>
      <c r="AM81" s="5">
        <f>COUNTIF(J81:AL81,"CORRECTO")</f>
        <v/>
      </c>
      <c r="AN81" s="5">
        <f>COUNTIF(J81:AL81,"INCORRECTO")</f>
        <v/>
      </c>
      <c r="AO81" s="5" t="n">
        <v>15</v>
      </c>
      <c r="AP81" s="6">
        <f>AM81/AO81</f>
        <v/>
      </c>
    </row>
    <row r="82">
      <c r="A82" s="2" t="inlineStr"/>
      <c r="B82" s="2" t="inlineStr">
        <is>
          <t>111001800660</t>
        </is>
      </c>
      <c r="C82" s="2" t="inlineStr">
        <is>
          <t>COLEGIO CIUDAD CHENGDU (IED) - SEDE PRINCIPAL</t>
        </is>
      </c>
      <c r="D82" s="2" t="inlineStr">
        <is>
          <t>DOMINICK SAMUEL VARGAS NIETO</t>
        </is>
      </c>
      <c r="E82" s="2" t="inlineStr">
        <is>
          <t>1013687647</t>
        </is>
      </c>
      <c r="F82" s="2" t="n">
        <v>3</v>
      </c>
      <c r="G82" s="2" t="n">
        <v>301</v>
      </c>
      <c r="H82" s="2" t="inlineStr">
        <is>
          <t>MATEMÁTICAS</t>
        </is>
      </c>
      <c r="I82" s="2" t="inlineStr">
        <is>
          <t>D</t>
        </is>
      </c>
      <c r="J82" s="3" t="inlineStr">
        <is>
          <t>CORRECTO</t>
        </is>
      </c>
      <c r="K82" s="2" t="inlineStr">
        <is>
          <t>B</t>
        </is>
      </c>
      <c r="L82" s="3" t="inlineStr">
        <is>
          <t>CORRECTO</t>
        </is>
      </c>
      <c r="M82" s="2" t="inlineStr">
        <is>
          <t>C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D</t>
        </is>
      </c>
      <c r="R82" s="4" t="inlineStr">
        <is>
          <t>INCORRECTO</t>
        </is>
      </c>
      <c r="S82" s="2" t="inlineStr">
        <is>
          <t>C</t>
        </is>
      </c>
      <c r="T82" s="3" t="inlineStr">
        <is>
          <t>CORRECTO</t>
        </is>
      </c>
      <c r="U82" s="2" t="inlineStr">
        <is>
          <t>A</t>
        </is>
      </c>
      <c r="V82" s="4" t="inlineStr">
        <is>
          <t>INCORRECTO</t>
        </is>
      </c>
      <c r="W82" s="2" t="inlineStr">
        <is>
          <t>D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C</t>
        </is>
      </c>
      <c r="AB82" s="3" t="inlineStr">
        <is>
          <t>CORRECTO</t>
        </is>
      </c>
      <c r="AC82" s="2" t="inlineStr">
        <is>
          <t>D</t>
        </is>
      </c>
      <c r="AD82" s="3" t="inlineStr">
        <is>
          <t>CORRECTO</t>
        </is>
      </c>
      <c r="AE82" s="2" t="inlineStr">
        <is>
          <t>C</t>
        </is>
      </c>
      <c r="AF82" s="4" t="inlineStr">
        <is>
          <t>INCORRECTO</t>
        </is>
      </c>
      <c r="AG82" s="2" t="inlineStr">
        <is>
          <t>C</t>
        </is>
      </c>
      <c r="AH82" s="3" t="inlineStr">
        <is>
          <t>CORRECTO</t>
        </is>
      </c>
      <c r="AI82" s="2" t="inlineStr">
        <is>
          <t>D</t>
        </is>
      </c>
      <c r="AJ82" s="3" t="inlineStr">
        <is>
          <t>CORRECTO</t>
        </is>
      </c>
      <c r="AK82" s="2" t="inlineStr">
        <is>
          <t>A</t>
        </is>
      </c>
      <c r="AL82" s="3" t="inlineStr">
        <is>
          <t>CORRECTO</t>
        </is>
      </c>
      <c r="AM82" s="5">
        <f>COUNTIF(J82:AL82,"CORRECTO")</f>
        <v/>
      </c>
      <c r="AN82" s="5">
        <f>COUNTIF(J82:AL82,"INCORRECTO")</f>
        <v/>
      </c>
      <c r="AO82" s="5" t="n">
        <v>15</v>
      </c>
      <c r="AP82" s="6">
        <f>AM82/AO82</f>
        <v/>
      </c>
    </row>
    <row r="83">
      <c r="A83" s="2" t="inlineStr"/>
      <c r="B83" s="2" t="inlineStr">
        <is>
          <t>111001800660</t>
        </is>
      </c>
      <c r="C83" s="2" t="inlineStr">
        <is>
          <t>COLEGIO CIUDAD CHENGDU (IED) - SEDE PRINCIPAL</t>
        </is>
      </c>
      <c r="D83" s="2" t="inlineStr">
        <is>
          <t>DOMINICK SAMUEL VARGAS NIETO</t>
        </is>
      </c>
      <c r="E83" s="2" t="inlineStr">
        <is>
          <t>1013687647</t>
        </is>
      </c>
      <c r="F83" s="2" t="n">
        <v>3</v>
      </c>
      <c r="G83" s="2" t="n">
        <v>301</v>
      </c>
      <c r="H83" s="2" t="inlineStr">
        <is>
          <t>LENGUAJE</t>
        </is>
      </c>
      <c r="I83" s="2" t="inlineStr">
        <is>
          <t>B</t>
        </is>
      </c>
      <c r="J83" s="3" t="inlineStr">
        <is>
          <t>CORRECTO</t>
        </is>
      </c>
      <c r="K83" s="2" t="inlineStr">
        <is>
          <t>B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B</t>
        </is>
      </c>
      <c r="T83" s="3" t="inlineStr">
        <is>
          <t>CORRECTO</t>
        </is>
      </c>
      <c r="U83" s="2" t="inlineStr">
        <is>
          <t>C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B</t>
        </is>
      </c>
      <c r="Z83" s="3" t="inlineStr">
        <is>
          <t>CORRECTO</t>
        </is>
      </c>
      <c r="AA83" s="2" t="inlineStr">
        <is>
          <t>C</t>
        </is>
      </c>
      <c r="AB83" s="3" t="inlineStr">
        <is>
          <t>CORRECTO</t>
        </is>
      </c>
      <c r="AC83" s="2" t="inlineStr">
        <is>
          <t>B</t>
        </is>
      </c>
      <c r="AD83" s="4" t="inlineStr">
        <is>
          <t>INCORRECTO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4" t="inlineStr">
        <is>
          <t>INCORRECTO</t>
        </is>
      </c>
      <c r="AI83" s="2" t="inlineStr">
        <is>
          <t>B</t>
        </is>
      </c>
      <c r="AJ83" s="3" t="inlineStr">
        <is>
          <t>CORRECTO</t>
        </is>
      </c>
      <c r="AK83" s="2" t="inlineStr">
        <is>
          <t>A</t>
        </is>
      </c>
      <c r="AL83" s="3" t="inlineStr">
        <is>
          <t>CORRECTO</t>
        </is>
      </c>
      <c r="AM83" s="5">
        <f>COUNTIF(J83:AL83,"CORRECTO")</f>
        <v/>
      </c>
      <c r="AN83" s="5">
        <f>COUNTIF(J83:AL83,"INCORRECTO")</f>
        <v/>
      </c>
      <c r="AO83" s="5" t="n">
        <v>15</v>
      </c>
      <c r="AP83" s="6">
        <f>AM83/AO83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2026-06-25T15:43:07Z</dcterms:created>
  <dcterms:modified xmlns:dcterms="http://purl.org/dc/terms/" xmlns:xsi="http://www.w3.org/2001/XMLSchema-instance" xsi:type="dcterms:W3CDTF">2026-06-25T15:43:07Z</dcterms:modified>
</cp:coreProperties>
</file>