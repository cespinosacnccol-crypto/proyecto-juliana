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</t>
        </is>
      </c>
      <c r="D2" s="2" t="inlineStr">
        <is>
          <t>JOHANN MATIAS HINESTROZA BUITRAGO</t>
        </is>
      </c>
      <c r="E2" s="2" t="inlineStr">
        <is>
          <t>1023412232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</t>
        </is>
      </c>
      <c r="D3" s="2" t="inlineStr">
        <is>
          <t>EVELIN NATALIA GONZALEZ VELASCO</t>
        </is>
      </c>
      <c r="E3" s="2" t="inlineStr">
        <is>
          <t>1029297020</t>
        </is>
      </c>
      <c r="F3" s="2" t="n">
        <v>3</v>
      </c>
      <c r="G3" s="2" t="n">
        <v>301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3" t="inlineStr">
        <is>
          <t>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</t>
        </is>
      </c>
      <c r="D4" s="2" t="inlineStr">
        <is>
          <t>SARA SOFIA ORTIZ RITACUBA</t>
        </is>
      </c>
      <c r="E4" s="2" t="inlineStr">
        <is>
          <t>1222217382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</t>
        </is>
      </c>
      <c r="D5" s="2" t="inlineStr">
        <is>
          <t>MATHIAS QUINTERO NOSSA</t>
        </is>
      </c>
      <c r="E5" s="2" t="inlineStr">
        <is>
          <t>1011250724</t>
        </is>
      </c>
      <c r="F5" s="2" t="n">
        <v>3</v>
      </c>
      <c r="G5" s="2" t="n">
        <v>301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3" t="inlineStr">
        <is>
          <t>CORRECTO</t>
        </is>
      </c>
      <c r="AE5" s="2" t="inlineStr">
        <is>
          <t>D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</t>
        </is>
      </c>
      <c r="D6" s="2" t="inlineStr">
        <is>
          <t>LINDA SALOME RODRIGUEZ CUBILLOS</t>
        </is>
      </c>
      <c r="E6" s="2" t="inlineStr">
        <is>
          <t>1013689158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</t>
        </is>
      </c>
      <c r="D7" s="2" t="inlineStr">
        <is>
          <t>DILAN SAMUEL RAMOS CASTRO</t>
        </is>
      </c>
      <c r="E7" s="2" t="inlineStr">
        <is>
          <t>1010247162</t>
        </is>
      </c>
      <c r="F7" s="2" t="n">
        <v>3</v>
      </c>
      <c r="G7" s="2" t="n">
        <v>301</v>
      </c>
      <c r="H7" s="2" t="inlineStr">
        <is>
          <t>MATEMÁTICAS</t>
        </is>
      </c>
      <c r="I7" s="2" t="inlineStr">
        <is>
          <t>D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3" t="inlineStr">
        <is>
          <t>CORRECTO</t>
        </is>
      </c>
      <c r="AE7" s="2" t="inlineStr">
        <is>
          <t>D</t>
        </is>
      </c>
      <c r="AF7" s="3" t="inlineStr">
        <is>
          <t>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D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</t>
        </is>
      </c>
      <c r="D8" s="2" t="inlineStr">
        <is>
          <t>MARTIN FELIPE ALEGRIA VILLANUEVA</t>
        </is>
      </c>
      <c r="E8" s="2" t="inlineStr">
        <is>
          <t>1024601143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</t>
        </is>
      </c>
      <c r="D9" s="2" t="inlineStr">
        <is>
          <t>CHARI SALOME HERREÑO QUITIAN</t>
        </is>
      </c>
      <c r="E9" s="2" t="inlineStr">
        <is>
          <t>1025562161</t>
        </is>
      </c>
      <c r="F9" s="2" t="n">
        <v>3</v>
      </c>
      <c r="G9" s="2" t="n">
        <v>301</v>
      </c>
      <c r="H9" s="2" t="inlineStr">
        <is>
          <t>MATEMÁTICAS</t>
        </is>
      </c>
      <c r="I9" s="2" t="inlineStr">
        <is>
          <t>D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3" t="inlineStr">
        <is>
          <t>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</t>
        </is>
      </c>
      <c r="D10" s="2" t="inlineStr">
        <is>
          <t>JHOAN STEVAN SOTELO CONTRERAS</t>
        </is>
      </c>
      <c r="E10" s="2" t="inlineStr">
        <is>
          <t>1024596859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</t>
        </is>
      </c>
      <c r="D11" s="2" t="inlineStr">
        <is>
          <t>MARIANA SALOME MOLINA CORTES</t>
        </is>
      </c>
      <c r="E11" s="2" t="inlineStr">
        <is>
          <t>1032509066</t>
        </is>
      </c>
      <c r="F11" s="2" t="n">
        <v>3</v>
      </c>
      <c r="G11" s="2" t="n">
        <v>301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4" t="inlineStr">
        <is>
          <t>INCORRECTO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3" t="inlineStr">
        <is>
          <t>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</t>
        </is>
      </c>
      <c r="D12" s="2" t="inlineStr">
        <is>
          <t>MEIKEL SMAICK DELGADO ESPITIA</t>
        </is>
      </c>
      <c r="E12" s="2" t="inlineStr">
        <is>
          <t>1033820222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</t>
        </is>
      </c>
      <c r="D13" s="2" t="inlineStr">
        <is>
          <t>DANNA SOFIA SANDOVAL BELTRAN</t>
        </is>
      </c>
      <c r="E13" s="2" t="inlineStr">
        <is>
          <t>1013691570</t>
        </is>
      </c>
      <c r="F13" s="2" t="n">
        <v>3</v>
      </c>
      <c r="G13" s="2" t="n">
        <v>301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3" t="inlineStr">
        <is>
          <t>CORRECTO</t>
        </is>
      </c>
      <c r="AE13" s="2" t="inlineStr">
        <is>
          <t>D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</t>
        </is>
      </c>
      <c r="D14" s="2" t="inlineStr">
        <is>
          <t>SAMUEL ADOLFO NISPERUZA BELTRAN</t>
        </is>
      </c>
      <c r="E14" s="2" t="inlineStr">
        <is>
          <t>1141137071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</t>
        </is>
      </c>
      <c r="D15" s="2" t="inlineStr">
        <is>
          <t>JUAN PABLO LINERO GONZALEZ</t>
        </is>
      </c>
      <c r="E15" s="2" t="inlineStr">
        <is>
          <t>1024603369</t>
        </is>
      </c>
      <c r="F15" s="2" t="n">
        <v>3</v>
      </c>
      <c r="G15" s="2" t="n">
        <v>301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3" t="inlineStr">
        <is>
          <t>CORRECTO</t>
        </is>
      </c>
      <c r="AK15" s="2" t="inlineStr">
        <is>
          <t>C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</t>
        </is>
      </c>
      <c r="D16" s="2" t="inlineStr">
        <is>
          <t>SHAIRA ISABELL GRAJALES ROA</t>
        </is>
      </c>
      <c r="E16" s="2" t="inlineStr">
        <is>
          <t>1024597675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</t>
        </is>
      </c>
      <c r="D17" s="2" t="inlineStr">
        <is>
          <t>SAMUEL SANTIAGO HERNANDEZ COBOS</t>
        </is>
      </c>
      <c r="E17" s="2" t="inlineStr">
        <is>
          <t>1024598498</t>
        </is>
      </c>
      <c r="F17" s="2" t="n">
        <v>3</v>
      </c>
      <c r="G17" s="2" t="n">
        <v>301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4" t="inlineStr">
        <is>
          <t>INCORRECTO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3" t="inlineStr">
        <is>
          <t>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</t>
        </is>
      </c>
      <c r="D18" s="2" t="inlineStr">
        <is>
          <t>EILEN SAMARA GALVEZ RIZACUBA</t>
        </is>
      </c>
      <c r="E18" s="2" t="inlineStr">
        <is>
          <t>1206222637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</t>
        </is>
      </c>
      <c r="D19" s="2" t="inlineStr">
        <is>
          <t>CRISTOPHER MARTIN RODRIGUEZ CALDERON</t>
        </is>
      </c>
      <c r="E19" s="2" t="inlineStr">
        <is>
          <t>1030702251</t>
        </is>
      </c>
      <c r="F19" s="2" t="n">
        <v>3</v>
      </c>
      <c r="G19" s="2" t="n">
        <v>301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</t>
        </is>
      </c>
      <c r="D20" s="2" t="inlineStr">
        <is>
          <t>SARA ALEJANDRA MENDOZA BARRERA</t>
        </is>
      </c>
      <c r="E20" s="2" t="inlineStr">
        <is>
          <t>1024600074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/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</t>
        </is>
      </c>
      <c r="D21" s="2" t="inlineStr">
        <is>
          <t>IAN MIGUEL SANCHEZ LOPEZ</t>
        </is>
      </c>
      <c r="E21" s="2" t="inlineStr">
        <is>
          <t>1023412551</t>
        </is>
      </c>
      <c r="F21" s="2" t="n">
        <v>3</v>
      </c>
      <c r="G21" s="2" t="n">
        <v>301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3" t="inlineStr">
        <is>
          <t>CORRECTO</t>
        </is>
      </c>
      <c r="AE21" s="2" t="inlineStr">
        <is>
          <t>D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3" t="inlineStr">
        <is>
          <t>CORRECTO</t>
        </is>
      </c>
      <c r="AK21" s="2" t="inlineStr">
        <is>
          <t>C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</t>
        </is>
      </c>
      <c r="D22" s="2" t="inlineStr">
        <is>
          <t>JOEL DANIEL NOVA LANCHEROS</t>
        </is>
      </c>
      <c r="E22" s="2" t="inlineStr">
        <is>
          <t>1023412172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</t>
        </is>
      </c>
      <c r="D23" s="2" t="inlineStr">
        <is>
          <t>MARIA PAULA TEJADA URIBE</t>
        </is>
      </c>
      <c r="E23" s="2" t="inlineStr">
        <is>
          <t>1028672837</t>
        </is>
      </c>
      <c r="F23" s="2" t="n">
        <v>3</v>
      </c>
      <c r="G23" s="2" t="n">
        <v>301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D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</t>
        </is>
      </c>
      <c r="D24" s="2" t="inlineStr">
        <is>
          <t>DULCE MARTINA CARMONA DUCUARA</t>
        </is>
      </c>
      <c r="E24" s="2" t="inlineStr">
        <is>
          <t>1072963819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</t>
        </is>
      </c>
      <c r="D25" s="2" t="inlineStr">
        <is>
          <t>CRISTIAN FELIPE TIQUE YAGUARA</t>
        </is>
      </c>
      <c r="E25" s="2" t="inlineStr">
        <is>
          <t>1024597732</t>
        </is>
      </c>
      <c r="F25" s="2" t="n">
        <v>3</v>
      </c>
      <c r="G25" s="2" t="n">
        <v>301</v>
      </c>
      <c r="H25" s="2" t="inlineStr">
        <is>
          <t>MATEMÁTICAS</t>
        </is>
      </c>
      <c r="I25" s="2" t="inlineStr">
        <is>
          <t>D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</t>
        </is>
      </c>
      <c r="D26" s="2" t="inlineStr">
        <is>
          <t>IAN SEBASTIAN ORTIZ FAJARDO</t>
        </is>
      </c>
      <c r="E26" s="2" t="inlineStr">
        <is>
          <t>1024600844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</t>
        </is>
      </c>
      <c r="D27" s="2" t="inlineStr">
        <is>
          <t>VALERY LUCIANA ROMERO MAHECHA</t>
        </is>
      </c>
      <c r="E27" s="2" t="inlineStr">
        <is>
          <t>1033819970</t>
        </is>
      </c>
      <c r="F27" s="2" t="n">
        <v>3</v>
      </c>
      <c r="G27" s="2" t="n">
        <v>301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CORRECTO</t>
        </is>
      </c>
      <c r="K27" s="2" t="inlineStr"/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</t>
        </is>
      </c>
      <c r="D28" s="2" t="inlineStr">
        <is>
          <t>TOMAS BARRERA DIAZ</t>
        </is>
      </c>
      <c r="E28" s="2" t="inlineStr">
        <is>
          <t>1141360985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</t>
        </is>
      </c>
      <c r="D29" s="2" t="inlineStr">
        <is>
          <t>VALERY SOFIA BETANCOURT BETANCUR</t>
        </is>
      </c>
      <c r="E29" s="2" t="inlineStr">
        <is>
          <t>1028793031</t>
        </is>
      </c>
      <c r="F29" s="2" t="n">
        <v>3</v>
      </c>
      <c r="G29" s="2" t="n">
        <v>301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D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</t>
        </is>
      </c>
      <c r="D30" s="2" t="inlineStr">
        <is>
          <t>ANGEL DAVID BONILLA HUERTAS</t>
        </is>
      </c>
      <c r="E30" s="2" t="inlineStr">
        <is>
          <t>1025560727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</t>
        </is>
      </c>
      <c r="D31" s="2" t="inlineStr">
        <is>
          <t>ERICK SAMUEL CAPERA GORDILLO</t>
        </is>
      </c>
      <c r="E31" s="2" t="inlineStr">
        <is>
          <t>1029296582</t>
        </is>
      </c>
      <c r="F31" s="2" t="n">
        <v>3</v>
      </c>
      <c r="G31" s="2" t="n">
        <v>301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</t>
        </is>
      </c>
      <c r="D32" s="2" t="inlineStr">
        <is>
          <t>SAMUEL JERONIMO CARRILLO VARGAS</t>
        </is>
      </c>
      <c r="E32" s="2" t="inlineStr">
        <is>
          <t>1023412100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</t>
        </is>
      </c>
      <c r="D33" s="2" t="inlineStr">
        <is>
          <t>IAN SANTIAGO DELGADO CASCAVITA</t>
        </is>
      </c>
      <c r="E33" s="2" t="inlineStr">
        <is>
          <t>1011109501</t>
        </is>
      </c>
      <c r="F33" s="2" t="n">
        <v>3</v>
      </c>
      <c r="G33" s="2" t="n">
        <v>301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</t>
        </is>
      </c>
      <c r="D34" s="2" t="inlineStr">
        <is>
          <t>VALERIE DELGADILLO LEON</t>
        </is>
      </c>
      <c r="E34" s="2" t="inlineStr">
        <is>
          <t>1025561873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</t>
        </is>
      </c>
      <c r="D35" s="2" t="inlineStr">
        <is>
          <t>IAN SAMUEL CRUZ PACHON</t>
        </is>
      </c>
      <c r="E35" s="2" t="inlineStr">
        <is>
          <t>1023976632</t>
        </is>
      </c>
      <c r="F35" s="2" t="n">
        <v>3</v>
      </c>
      <c r="G35" s="2" t="n">
        <v>301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/>
      <c r="AB35" s="4" t="inlineStr">
        <is>
          <t>INCORRECTO</t>
        </is>
      </c>
      <c r="AC35" s="2" t="inlineStr">
        <is>
          <t>D</t>
        </is>
      </c>
      <c r="AD35" s="3" t="inlineStr">
        <is>
          <t>CORRECTO</t>
        </is>
      </c>
      <c r="AE35" s="2" t="inlineStr">
        <is>
          <t>D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</t>
        </is>
      </c>
      <c r="D36" s="2" t="inlineStr">
        <is>
          <t>JERONIMO CUERVO DUQUE</t>
        </is>
      </c>
      <c r="E36" s="2" t="inlineStr">
        <is>
          <t>1025561669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</t>
        </is>
      </c>
      <c r="D37" s="2" t="inlineStr">
        <is>
          <t>JEREMY JOSUE GARCIA JUEZ</t>
        </is>
      </c>
      <c r="E37" s="2" t="inlineStr">
        <is>
          <t>1024603579</t>
        </is>
      </c>
      <c r="F37" s="2" t="n">
        <v>3</v>
      </c>
      <c r="G37" s="2" t="n">
        <v>301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</t>
        </is>
      </c>
      <c r="D38" s="2" t="inlineStr">
        <is>
          <t>LAURA ISABELLA GAVIRIA RODRIGUEZ</t>
        </is>
      </c>
      <c r="E38" s="2" t="inlineStr">
        <is>
          <t>1024599597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</t>
        </is>
      </c>
      <c r="D39" s="2" t="inlineStr">
        <is>
          <t>IAN GIL OLAYA</t>
        </is>
      </c>
      <c r="E39" s="2" t="inlineStr">
        <is>
          <t>1023413374</t>
        </is>
      </c>
      <c r="F39" s="2" t="n">
        <v>3</v>
      </c>
      <c r="G39" s="2" t="n">
        <v>301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4" t="inlineStr">
        <is>
          <t>INCORRECTO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3" t="inlineStr">
        <is>
          <t>CORRECTO</t>
        </is>
      </c>
      <c r="AE39" s="2" t="inlineStr">
        <is>
          <t>D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</t>
        </is>
      </c>
      <c r="D40" s="2" t="inlineStr">
        <is>
          <t>BRANDON FELIPE GIRAL PABON</t>
        </is>
      </c>
      <c r="E40" s="2" t="inlineStr">
        <is>
          <t>1023413883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</t>
        </is>
      </c>
      <c r="D41" s="2" t="inlineStr">
        <is>
          <t>JUAN JOSE MENDOZA HERNANDEZ</t>
        </is>
      </c>
      <c r="E41" s="2" t="inlineStr">
        <is>
          <t>1023411722</t>
        </is>
      </c>
      <c r="F41" s="2" t="n">
        <v>3</v>
      </c>
      <c r="G41" s="2" t="n">
        <v>301</v>
      </c>
      <c r="H41" s="2" t="inlineStr">
        <is>
          <t>MATEMÁTICAS</t>
        </is>
      </c>
      <c r="I41" s="2" t="inlineStr">
        <is>
          <t>D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3" t="inlineStr">
        <is>
          <t>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</t>
        </is>
      </c>
      <c r="D42" s="2" t="inlineStr">
        <is>
          <t>HARVI SAMUEL LOPEZ VILLAIZAN</t>
        </is>
      </c>
      <c r="E42" s="2" t="inlineStr">
        <is>
          <t>1012924320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</t>
        </is>
      </c>
      <c r="D43" s="2" t="inlineStr">
        <is>
          <t>MARTIN JOEL LANCHEROS CARVAJAL</t>
        </is>
      </c>
      <c r="E43" s="2" t="inlineStr">
        <is>
          <t>1024597538</t>
        </is>
      </c>
      <c r="F43" s="2" t="n">
        <v>3</v>
      </c>
      <c r="G43" s="2" t="n">
        <v>301</v>
      </c>
      <c r="H43" s="2" t="inlineStr">
        <is>
          <t>MATEMÁTICAS</t>
        </is>
      </c>
      <c r="I43" s="2" t="inlineStr">
        <is>
          <t>D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D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</t>
        </is>
      </c>
      <c r="D44" s="2" t="inlineStr">
        <is>
          <t>JOHANN MATIAS HINESTROZA BUITRAGO</t>
        </is>
      </c>
      <c r="E44" s="2" t="inlineStr">
        <is>
          <t>1023412232</t>
        </is>
      </c>
      <c r="F44" s="2" t="n">
        <v>3</v>
      </c>
      <c r="G44" s="2" t="n">
        <v>301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</t>
        </is>
      </c>
      <c r="D45" s="2" t="inlineStr">
        <is>
          <t>EVELIN NATALIA GONZALEZ VELASCO</t>
        </is>
      </c>
      <c r="E45" s="2" t="inlineStr">
        <is>
          <t>1029297020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</t>
        </is>
      </c>
      <c r="D46" s="2" t="inlineStr">
        <is>
          <t>SARA SOFIA ORTIZ RITACUBA</t>
        </is>
      </c>
      <c r="E46" s="2" t="inlineStr">
        <is>
          <t>1222217382</t>
        </is>
      </c>
      <c r="F46" s="2" t="n">
        <v>3</v>
      </c>
      <c r="G46" s="2" t="n">
        <v>301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C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3" t="inlineStr">
        <is>
          <t>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</t>
        </is>
      </c>
      <c r="D47" s="2" t="inlineStr">
        <is>
          <t>MATHIAS QUINTERO NOSSA</t>
        </is>
      </c>
      <c r="E47" s="2" t="inlineStr">
        <is>
          <t>1011250724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</t>
        </is>
      </c>
      <c r="D48" s="2" t="inlineStr">
        <is>
          <t>LINDA SALOME RODRIGUEZ CUBILLOS</t>
        </is>
      </c>
      <c r="E48" s="2" t="inlineStr">
        <is>
          <t>1013689158</t>
        </is>
      </c>
      <c r="F48" s="2" t="n">
        <v>3</v>
      </c>
      <c r="G48" s="2" t="n">
        <v>301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3" t="inlineStr">
        <is>
          <t>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</t>
        </is>
      </c>
      <c r="D49" s="2" t="inlineStr">
        <is>
          <t>DILAN SAMUEL RAMOS CASTRO</t>
        </is>
      </c>
      <c r="E49" s="2" t="inlineStr">
        <is>
          <t>1010247162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/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</t>
        </is>
      </c>
      <c r="D50" s="2" t="inlineStr">
        <is>
          <t>MARTIN FELIPE ALEGRIA VILLANUEVA</t>
        </is>
      </c>
      <c r="E50" s="2" t="inlineStr">
        <is>
          <t>1024601143</t>
        </is>
      </c>
      <c r="F50" s="2" t="n">
        <v>3</v>
      </c>
      <c r="G50" s="2" t="n">
        <v>301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C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A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</t>
        </is>
      </c>
      <c r="D51" s="2" t="inlineStr">
        <is>
          <t>CHARI SALOME HERREÑO QUITIAN</t>
        </is>
      </c>
      <c r="E51" s="2" t="inlineStr">
        <is>
          <t>1025562161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/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</t>
        </is>
      </c>
      <c r="D52" s="2" t="inlineStr">
        <is>
          <t>JHOAN STEVAN SOTELO CONTRERAS</t>
        </is>
      </c>
      <c r="E52" s="2" t="inlineStr">
        <is>
          <t>1024596859</t>
        </is>
      </c>
      <c r="F52" s="2" t="n">
        <v>3</v>
      </c>
      <c r="G52" s="2" t="n">
        <v>301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</t>
        </is>
      </c>
      <c r="D53" s="2" t="inlineStr">
        <is>
          <t>MARIANA SALOME MOLINA CORTES</t>
        </is>
      </c>
      <c r="E53" s="2" t="inlineStr">
        <is>
          <t>1032509066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</t>
        </is>
      </c>
      <c r="D54" s="2" t="inlineStr">
        <is>
          <t>MEIKEL SMAICK DELGADO ESPITIA</t>
        </is>
      </c>
      <c r="E54" s="2" t="inlineStr">
        <is>
          <t>1033820222</t>
        </is>
      </c>
      <c r="F54" s="2" t="n">
        <v>3</v>
      </c>
      <c r="G54" s="2" t="n">
        <v>301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A</t>
        </is>
      </c>
      <c r="AH54" s="3" t="inlineStr">
        <is>
          <t>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</t>
        </is>
      </c>
      <c r="D55" s="2" t="inlineStr">
        <is>
          <t>DANNA SOFIA SANDOVAL BELTRAN</t>
        </is>
      </c>
      <c r="E55" s="2" t="inlineStr">
        <is>
          <t>1013691570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/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</t>
        </is>
      </c>
      <c r="D56" s="2" t="inlineStr">
        <is>
          <t>SAMUEL ADOLFO NISPERUZA BELTRAN</t>
        </is>
      </c>
      <c r="E56" s="2" t="inlineStr">
        <is>
          <t>1141137071</t>
        </is>
      </c>
      <c r="F56" s="2" t="n">
        <v>3</v>
      </c>
      <c r="G56" s="2" t="n">
        <v>301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C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A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</t>
        </is>
      </c>
      <c r="D57" s="2" t="inlineStr">
        <is>
          <t>JUAN PABLO LINERO GONZALEZ</t>
        </is>
      </c>
      <c r="E57" s="2" t="inlineStr">
        <is>
          <t>1024603369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111001800635</t>
        </is>
      </c>
      <c r="C58" s="2" t="inlineStr">
        <is>
          <t>COLEGIO EL NOGAL (IED)</t>
        </is>
      </c>
      <c r="D58" s="2" t="inlineStr">
        <is>
          <t>SHAIRA ISABELL GRAJALES ROA</t>
        </is>
      </c>
      <c r="E58" s="2" t="inlineStr">
        <is>
          <t>1024597675</t>
        </is>
      </c>
      <c r="F58" s="2" t="n">
        <v>3</v>
      </c>
      <c r="G58" s="2" t="n">
        <v>301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111001800635</t>
        </is>
      </c>
      <c r="C59" s="2" t="inlineStr">
        <is>
          <t>COLEGIO EL NOGAL (IED)</t>
        </is>
      </c>
      <c r="D59" s="2" t="inlineStr">
        <is>
          <t>SAMUEL SANTIAGO HERNANDEZ COBOS</t>
        </is>
      </c>
      <c r="E59" s="2" t="inlineStr">
        <is>
          <t>1024598498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C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/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111001800635</t>
        </is>
      </c>
      <c r="C60" s="2" t="inlineStr">
        <is>
          <t>COLEGIO EL NOGAL (IED)</t>
        </is>
      </c>
      <c r="D60" s="2" t="inlineStr">
        <is>
          <t>EILEN SAMARA GALVEZ RIZACUBA</t>
        </is>
      </c>
      <c r="E60" s="2" t="inlineStr">
        <is>
          <t>1206222637</t>
        </is>
      </c>
      <c r="F60" s="2" t="n">
        <v>3</v>
      </c>
      <c r="G60" s="2" t="n">
        <v>301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111001800635</t>
        </is>
      </c>
      <c r="C61" s="2" t="inlineStr">
        <is>
          <t>COLEGIO EL NOGAL (IED)</t>
        </is>
      </c>
      <c r="D61" s="2" t="inlineStr">
        <is>
          <t>CRISTOPHER MARTIN RODRIGUEZ CALDERON</t>
        </is>
      </c>
      <c r="E61" s="2" t="inlineStr">
        <is>
          <t>1030702251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D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111001800635</t>
        </is>
      </c>
      <c r="C62" s="2" t="inlineStr">
        <is>
          <t>COLEGIO EL NOGAL (IED)</t>
        </is>
      </c>
      <c r="D62" s="2" t="inlineStr">
        <is>
          <t>SARA ALEJANDRA MENDOZA BARRERA</t>
        </is>
      </c>
      <c r="E62" s="2" t="inlineStr">
        <is>
          <t>1024600074</t>
        </is>
      </c>
      <c r="F62" s="2" t="n">
        <v>3</v>
      </c>
      <c r="G62" s="2" t="n">
        <v>301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D</t>
        </is>
      </c>
      <c r="AF62" s="4" t="inlineStr">
        <is>
          <t>INCORRECTO</t>
        </is>
      </c>
      <c r="AG62" s="2" t="inlineStr">
        <is>
          <t>C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111001800635</t>
        </is>
      </c>
      <c r="C63" s="2" t="inlineStr">
        <is>
          <t>COLEGIO EL NOGAL (IED)</t>
        </is>
      </c>
      <c r="D63" s="2" t="inlineStr">
        <is>
          <t>IAN MIGUEL SANCHEZ LOPEZ</t>
        </is>
      </c>
      <c r="E63" s="2" t="inlineStr">
        <is>
          <t>1023412551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/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111001800635</t>
        </is>
      </c>
      <c r="C64" s="2" t="inlineStr">
        <is>
          <t>COLEGIO EL NOGAL (IED)</t>
        </is>
      </c>
      <c r="D64" s="2" t="inlineStr">
        <is>
          <t>JOEL DANIEL NOVA LANCHEROS</t>
        </is>
      </c>
      <c r="E64" s="2" t="inlineStr">
        <is>
          <t>1023412172</t>
        </is>
      </c>
      <c r="F64" s="2" t="n">
        <v>3</v>
      </c>
      <c r="G64" s="2" t="n">
        <v>301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111001800635</t>
        </is>
      </c>
      <c r="C65" s="2" t="inlineStr">
        <is>
          <t>COLEGIO EL NOGAL (IED)</t>
        </is>
      </c>
      <c r="D65" s="2" t="inlineStr">
        <is>
          <t>MARIA PAULA TEJADA URIBE</t>
        </is>
      </c>
      <c r="E65" s="2" t="inlineStr">
        <is>
          <t>1028672837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D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111001800635</t>
        </is>
      </c>
      <c r="C66" s="2" t="inlineStr">
        <is>
          <t>COLEGIO EL NOGAL (IED)</t>
        </is>
      </c>
      <c r="D66" s="2" t="inlineStr">
        <is>
          <t>DULCE MARTINA CARMONA DUCUARA</t>
        </is>
      </c>
      <c r="E66" s="2" t="inlineStr">
        <is>
          <t>1072963819</t>
        </is>
      </c>
      <c r="F66" s="2" t="n">
        <v>3</v>
      </c>
      <c r="G66" s="2" t="n">
        <v>301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111001800635</t>
        </is>
      </c>
      <c r="C67" s="2" t="inlineStr">
        <is>
          <t>COLEGIO EL NOGAL (IED)</t>
        </is>
      </c>
      <c r="D67" s="2" t="inlineStr">
        <is>
          <t>CRISTIAN FELIPE TIQUE YAGUARA</t>
        </is>
      </c>
      <c r="E67" s="2" t="inlineStr">
        <is>
          <t>1024597732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111001800635</t>
        </is>
      </c>
      <c r="C68" s="2" t="inlineStr">
        <is>
          <t>COLEGIO EL NOGAL (IED)</t>
        </is>
      </c>
      <c r="D68" s="2" t="inlineStr">
        <is>
          <t>IAN SEBASTIAN ORTIZ FAJARDO</t>
        </is>
      </c>
      <c r="E68" s="2" t="inlineStr">
        <is>
          <t>1024600844</t>
        </is>
      </c>
      <c r="F68" s="2" t="n">
        <v>3</v>
      </c>
      <c r="G68" s="2" t="n">
        <v>301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C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A</t>
        </is>
      </c>
      <c r="AH68" s="3" t="inlineStr">
        <is>
          <t>CORRECTO</t>
        </is>
      </c>
      <c r="AI68" s="2" t="inlineStr">
        <is>
          <t>C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111001800635</t>
        </is>
      </c>
      <c r="C69" s="2" t="inlineStr">
        <is>
          <t>COLEGIO EL NOGAL (IED)</t>
        </is>
      </c>
      <c r="D69" s="2" t="inlineStr">
        <is>
          <t>VALERY LUCIANA ROMERO MAHECHA</t>
        </is>
      </c>
      <c r="E69" s="2" t="inlineStr">
        <is>
          <t>1033819970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111001800635</t>
        </is>
      </c>
      <c r="C70" s="2" t="inlineStr">
        <is>
          <t>COLEGIO EL NOGAL (IED)</t>
        </is>
      </c>
      <c r="D70" s="2" t="inlineStr">
        <is>
          <t>TOMAS BARRERA DIAZ</t>
        </is>
      </c>
      <c r="E70" s="2" t="inlineStr">
        <is>
          <t>1141360985</t>
        </is>
      </c>
      <c r="F70" s="2" t="n">
        <v>3</v>
      </c>
      <c r="G70" s="2" t="n">
        <v>301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A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111001800635</t>
        </is>
      </c>
      <c r="C71" s="2" t="inlineStr">
        <is>
          <t>COLEGIO EL NOGAL (IED)</t>
        </is>
      </c>
      <c r="D71" s="2" t="inlineStr">
        <is>
          <t>VALERY SOFIA BETANCOURT BETANCUR</t>
        </is>
      </c>
      <c r="E71" s="2" t="inlineStr">
        <is>
          <t>1028793031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/>
      <c r="AJ71" s="4" t="inlineStr">
        <is>
          <t>INCORRECTO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111001800635</t>
        </is>
      </c>
      <c r="C72" s="2" t="inlineStr">
        <is>
          <t>COLEGIO EL NOGAL (IED)</t>
        </is>
      </c>
      <c r="D72" s="2" t="inlineStr">
        <is>
          <t>ANGEL DAVID BONILLA HUERTAS</t>
        </is>
      </c>
      <c r="E72" s="2" t="inlineStr">
        <is>
          <t>1025560727</t>
        </is>
      </c>
      <c r="F72" s="2" t="n">
        <v>3</v>
      </c>
      <c r="G72" s="2" t="n">
        <v>301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A</t>
        </is>
      </c>
      <c r="AH72" s="3" t="inlineStr">
        <is>
          <t>CORRECTO</t>
        </is>
      </c>
      <c r="AI72" s="2" t="inlineStr"/>
      <c r="AJ72" s="4" t="inlineStr">
        <is>
          <t>INCORRECTO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111001800635</t>
        </is>
      </c>
      <c r="C73" s="2" t="inlineStr">
        <is>
          <t>COLEGIO EL NOGAL (IED)</t>
        </is>
      </c>
      <c r="D73" s="2" t="inlineStr">
        <is>
          <t>ERICK SAMUEL CAPERA GORDILLO</t>
        </is>
      </c>
      <c r="E73" s="2" t="inlineStr">
        <is>
          <t>1029296582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C</t>
        </is>
      </c>
      <c r="AH73" s="4" t="inlineStr">
        <is>
          <t>INCORRECTO</t>
        </is>
      </c>
      <c r="AI73" s="2" t="inlineStr"/>
      <c r="AJ73" s="4" t="inlineStr">
        <is>
          <t>INCORRECTO</t>
        </is>
      </c>
      <c r="AK73" s="2" t="inlineStr">
        <is>
          <t>C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111001800635</t>
        </is>
      </c>
      <c r="C74" s="2" t="inlineStr">
        <is>
          <t>COLEGIO EL NOGAL (IED)</t>
        </is>
      </c>
      <c r="D74" s="2" t="inlineStr">
        <is>
          <t>SAMUEL JERONIMO CARRILLO VARGAS</t>
        </is>
      </c>
      <c r="E74" s="2" t="inlineStr">
        <is>
          <t>1023412100</t>
        </is>
      </c>
      <c r="F74" s="2" t="n">
        <v>3</v>
      </c>
      <c r="G74" s="2" t="n">
        <v>301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4" t="inlineStr">
        <is>
          <t>INCORRECTO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A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111001800635</t>
        </is>
      </c>
      <c r="C75" s="2" t="inlineStr">
        <is>
          <t>COLEGIO EL NOGAL (IED)</t>
        </is>
      </c>
      <c r="D75" s="2" t="inlineStr">
        <is>
          <t>IAN SANTIAGO DELGADO CASCAVITA</t>
        </is>
      </c>
      <c r="E75" s="2" t="inlineStr">
        <is>
          <t>1011109501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111001800635</t>
        </is>
      </c>
      <c r="C76" s="2" t="inlineStr">
        <is>
          <t>COLEGIO EL NOGAL (IED)</t>
        </is>
      </c>
      <c r="D76" s="2" t="inlineStr">
        <is>
          <t>VALERIE DELGADILLO LEON</t>
        </is>
      </c>
      <c r="E76" s="2" t="inlineStr">
        <is>
          <t>1025561873</t>
        </is>
      </c>
      <c r="F76" s="2" t="n">
        <v>3</v>
      </c>
      <c r="G76" s="2" t="n">
        <v>301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C</t>
        </is>
      </c>
      <c r="AF76" s="4" t="inlineStr">
        <is>
          <t>INCORRECTO</t>
        </is>
      </c>
      <c r="AG76" s="2" t="inlineStr">
        <is>
          <t>A</t>
        </is>
      </c>
      <c r="AH76" s="3" t="inlineStr">
        <is>
          <t>CORRECTO</t>
        </is>
      </c>
      <c r="AI76" s="2" t="inlineStr"/>
      <c r="AJ76" s="4" t="inlineStr">
        <is>
          <t>INCORRECTO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111001800635</t>
        </is>
      </c>
      <c r="C77" s="2" t="inlineStr">
        <is>
          <t>COLEGIO EL NOGAL (IED)</t>
        </is>
      </c>
      <c r="D77" s="2" t="inlineStr">
        <is>
          <t>IAN SAMUEL CRUZ PACHON</t>
        </is>
      </c>
      <c r="E77" s="2" t="inlineStr">
        <is>
          <t>1023976632</t>
        </is>
      </c>
      <c r="F77" s="2" t="n">
        <v>3</v>
      </c>
      <c r="G77" s="2" t="n">
        <v>301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A</t>
        </is>
      </c>
      <c r="AH77" s="3" t="inlineStr">
        <is>
          <t>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A</t>
        </is>
      </c>
      <c r="AL77" s="3" t="inlineStr">
        <is>
          <t>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111001800635</t>
        </is>
      </c>
      <c r="C78" s="2" t="inlineStr">
        <is>
          <t>COLEGIO EL NOGAL (IED)</t>
        </is>
      </c>
      <c r="D78" s="2" t="inlineStr">
        <is>
          <t>JERONIMO CUERVO DUQUE</t>
        </is>
      </c>
      <c r="E78" s="2" t="inlineStr">
        <is>
          <t>1025561669</t>
        </is>
      </c>
      <c r="F78" s="2" t="n">
        <v>3</v>
      </c>
      <c r="G78" s="2" t="n">
        <v>301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C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A</t>
        </is>
      </c>
      <c r="AH78" s="3" t="inlineStr">
        <is>
          <t>CORRECTO</t>
        </is>
      </c>
      <c r="AI78" s="2" t="inlineStr"/>
      <c r="AJ78" s="4" t="inlineStr">
        <is>
          <t>INCORRECTO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111001800635</t>
        </is>
      </c>
      <c r="C79" s="2" t="inlineStr">
        <is>
          <t>COLEGIO EL NOGAL (IED)</t>
        </is>
      </c>
      <c r="D79" s="2" t="inlineStr">
        <is>
          <t>JEREMY JOSUE GARCIA JUEZ</t>
        </is>
      </c>
      <c r="E79" s="2" t="inlineStr">
        <is>
          <t>1024603579</t>
        </is>
      </c>
      <c r="F79" s="2" t="n">
        <v>3</v>
      </c>
      <c r="G79" s="2" t="n">
        <v>301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A</t>
        </is>
      </c>
      <c r="AH79" s="3" t="inlineStr">
        <is>
          <t>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A</t>
        </is>
      </c>
      <c r="AL79" s="3" t="inlineStr">
        <is>
          <t>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111001800635</t>
        </is>
      </c>
      <c r="C80" s="2" t="inlineStr">
        <is>
          <t>COLEGIO EL NOGAL (IED)</t>
        </is>
      </c>
      <c r="D80" s="2" t="inlineStr">
        <is>
          <t>LAURA ISABELLA GAVIRIA RODRIGUEZ</t>
        </is>
      </c>
      <c r="E80" s="2" t="inlineStr">
        <is>
          <t>1024599597</t>
        </is>
      </c>
      <c r="F80" s="2" t="n">
        <v>3</v>
      </c>
      <c r="G80" s="2" t="n">
        <v>301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D</t>
        </is>
      </c>
      <c r="AD80" s="4" t="inlineStr">
        <is>
          <t>INCORRECTO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A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111001800635</t>
        </is>
      </c>
      <c r="C81" s="2" t="inlineStr">
        <is>
          <t>COLEGIO EL NOGAL (IED)</t>
        </is>
      </c>
      <c r="D81" s="2" t="inlineStr">
        <is>
          <t>IAN GIL OLAYA</t>
        </is>
      </c>
      <c r="E81" s="2" t="inlineStr">
        <is>
          <t>1023413374</t>
        </is>
      </c>
      <c r="F81" s="2" t="n">
        <v>3</v>
      </c>
      <c r="G81" s="2" t="n">
        <v>301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A</t>
        </is>
      </c>
      <c r="AH81" s="3" t="inlineStr">
        <is>
          <t>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D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111001800635</t>
        </is>
      </c>
      <c r="C82" s="2" t="inlineStr">
        <is>
          <t>COLEGIO EL NOGAL (IED)</t>
        </is>
      </c>
      <c r="D82" s="2" t="inlineStr">
        <is>
          <t>BRANDON FELIPE GIRAL PABON</t>
        </is>
      </c>
      <c r="E82" s="2" t="inlineStr">
        <is>
          <t>1023413883</t>
        </is>
      </c>
      <c r="F82" s="2" t="n">
        <v>3</v>
      </c>
      <c r="G82" s="2" t="n">
        <v>301</v>
      </c>
      <c r="H82" s="2" t="inlineStr">
        <is>
          <t>LENGUAJE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C</t>
        </is>
      </c>
      <c r="V82" s="3" t="inlineStr">
        <is>
          <t>CORRECTO</t>
        </is>
      </c>
      <c r="W82" s="2" t="inlineStr">
        <is>
          <t>C</t>
        </is>
      </c>
      <c r="X82" s="3" t="inlineStr">
        <is>
          <t>CORRECTO</t>
        </is>
      </c>
      <c r="Y82" s="2" t="inlineStr">
        <is>
          <t>B</t>
        </is>
      </c>
      <c r="Z82" s="3" t="inlineStr">
        <is>
          <t>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C</t>
        </is>
      </c>
      <c r="AH82" s="4" t="inlineStr">
        <is>
          <t>INCORRECTO</t>
        </is>
      </c>
      <c r="AI82" s="2" t="inlineStr">
        <is>
          <t>B</t>
        </is>
      </c>
      <c r="AJ82" s="3" t="inlineStr">
        <is>
          <t>CORRECTO</t>
        </is>
      </c>
      <c r="AK82" s="2" t="inlineStr">
        <is>
          <t>D</t>
        </is>
      </c>
      <c r="AL82" s="4" t="inlineStr">
        <is>
          <t>INCORRECTO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111001800635</t>
        </is>
      </c>
      <c r="C83" s="2" t="inlineStr">
        <is>
          <t>COLEGIO EL NOGAL (IED)</t>
        </is>
      </c>
      <c r="D83" s="2" t="inlineStr">
        <is>
          <t>JUAN JOSE MENDOZA HERNANDEZ</t>
        </is>
      </c>
      <c r="E83" s="2" t="inlineStr">
        <is>
          <t>1023411722</t>
        </is>
      </c>
      <c r="F83" s="2" t="n">
        <v>3</v>
      </c>
      <c r="G83" s="2" t="n">
        <v>301</v>
      </c>
      <c r="H83" s="2" t="inlineStr">
        <is>
          <t>LENGUAJE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A</t>
        </is>
      </c>
      <c r="AH83" s="3" t="inlineStr">
        <is>
          <t>CORRECTO</t>
        </is>
      </c>
      <c r="AI83" s="2" t="inlineStr">
        <is>
          <t>A</t>
        </is>
      </c>
      <c r="AJ83" s="4" t="inlineStr">
        <is>
          <t>INCORRECTO</t>
        </is>
      </c>
      <c r="AK83" s="2" t="inlineStr">
        <is>
          <t>D</t>
        </is>
      </c>
      <c r="AL83" s="4" t="inlineStr">
        <is>
          <t>INCORRECTO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  <row r="84">
      <c r="A84" s="2" t="inlineStr">
        <is>
          <t>TRATADO</t>
        </is>
      </c>
      <c r="B84" s="2" t="inlineStr">
        <is>
          <t>111001800635</t>
        </is>
      </c>
      <c r="C84" s="2" t="inlineStr">
        <is>
          <t>COLEGIO EL NOGAL (IED)</t>
        </is>
      </c>
      <c r="D84" s="2" t="inlineStr">
        <is>
          <t>HARVI SAMUEL LOPEZ VILLAIZAN</t>
        </is>
      </c>
      <c r="E84" s="2" t="inlineStr">
        <is>
          <t>1012924320</t>
        </is>
      </c>
      <c r="F84" s="2" t="n">
        <v>3</v>
      </c>
      <c r="G84" s="2" t="n">
        <v>301</v>
      </c>
      <c r="H84" s="2" t="inlineStr">
        <is>
          <t>LENGUAJE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C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A</t>
        </is>
      </c>
      <c r="AD84" s="4" t="inlineStr">
        <is>
          <t>INCORRECTO</t>
        </is>
      </c>
      <c r="AE84" s="2" t="inlineStr">
        <is>
          <t>B</t>
        </is>
      </c>
      <c r="AF84" s="3" t="inlineStr">
        <is>
          <t>CORRECTO</t>
        </is>
      </c>
      <c r="AG84" s="2" t="inlineStr">
        <is>
          <t>A</t>
        </is>
      </c>
      <c r="AH84" s="3" t="inlineStr">
        <is>
          <t>CORRECTO</t>
        </is>
      </c>
      <c r="AI84" s="2" t="inlineStr">
        <is>
          <t>B</t>
        </is>
      </c>
      <c r="AJ84" s="3" t="inlineStr">
        <is>
          <t>CORRECTO</t>
        </is>
      </c>
      <c r="AK84" s="2" t="inlineStr">
        <is>
          <t>D</t>
        </is>
      </c>
      <c r="AL84" s="4" t="inlineStr">
        <is>
          <t>INCORRECTO</t>
        </is>
      </c>
      <c r="AM84" s="5">
        <f>COUNTIF(J84:AL84,"CORRECTO")</f>
        <v/>
      </c>
      <c r="AN84" s="5">
        <f>COUNTIF(J84:AL84,"INCORRECTO")</f>
        <v/>
      </c>
      <c r="AO84" s="5" t="n">
        <v>15</v>
      </c>
      <c r="AP84" s="6">
        <f>AM84/AO84</f>
        <v/>
      </c>
    </row>
    <row r="85">
      <c r="A85" s="2" t="inlineStr">
        <is>
          <t>TRATADO</t>
        </is>
      </c>
      <c r="B85" s="2" t="inlineStr">
        <is>
          <t>111001800635</t>
        </is>
      </c>
      <c r="C85" s="2" t="inlineStr">
        <is>
          <t>COLEGIO EL NOGAL (IED)</t>
        </is>
      </c>
      <c r="D85" s="2" t="inlineStr">
        <is>
          <t>MARTIN JOEL LANCHEROS CARVAJAL</t>
        </is>
      </c>
      <c r="E85" s="2" t="inlineStr">
        <is>
          <t>1024597538</t>
        </is>
      </c>
      <c r="F85" s="2" t="n">
        <v>3</v>
      </c>
      <c r="G85" s="2" t="n">
        <v>301</v>
      </c>
      <c r="H85" s="2" t="inlineStr">
        <is>
          <t>LENGUAJE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C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B</t>
        </is>
      </c>
      <c r="Z85" s="3" t="inlineStr">
        <is>
          <t>CORRECTO</t>
        </is>
      </c>
      <c r="AA85" s="2" t="inlineStr">
        <is>
          <t>C</t>
        </is>
      </c>
      <c r="AB85" s="3" t="inlineStr">
        <is>
          <t>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A</t>
        </is>
      </c>
      <c r="AH85" s="3" t="inlineStr">
        <is>
          <t>CORRECTO</t>
        </is>
      </c>
      <c r="AI85" s="2" t="inlineStr">
        <is>
          <t>A</t>
        </is>
      </c>
      <c r="AJ85" s="4" t="inlineStr">
        <is>
          <t>INCORRECTO</t>
        </is>
      </c>
      <c r="AK85" s="2" t="inlineStr">
        <is>
          <t>A</t>
        </is>
      </c>
      <c r="AL85" s="3" t="inlineStr">
        <is>
          <t>CORRECTO</t>
        </is>
      </c>
      <c r="AM85" s="5">
        <f>COUNTIF(J85:AL85,"CORRECTO")</f>
        <v/>
      </c>
      <c r="AN85" s="5">
        <f>COUNTIF(J85:AL85,"INCORRECTO")</f>
        <v/>
      </c>
      <c r="AO85" s="5" t="n">
        <v>15</v>
      </c>
      <c r="AP85" s="6">
        <f>AM85/AO85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2026-06-17T23:40:22Z</dcterms:created>
  <dcterms:modified xmlns:dcterms="http://purl.org/dc/terms/" xmlns:xsi="http://www.w3.org/2001/XMLSchema-instance" xsi:type="dcterms:W3CDTF">2026-06-17T23:40:22Z</dcterms:modified>
</cp:coreProperties>
</file>