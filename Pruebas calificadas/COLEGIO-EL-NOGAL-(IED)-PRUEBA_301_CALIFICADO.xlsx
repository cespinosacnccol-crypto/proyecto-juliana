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2" customWidth="1" min="39" max="39"/>
    <col width="12" customWidth="1" min="40" max="40"/>
    <col width="12" customWidth="1" min="41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111001800635</t>
        </is>
      </c>
      <c r="C2" s="2" t="inlineStr">
        <is>
          <t>COLEGIO EL NOGAL (IED)</t>
        </is>
      </c>
      <c r="D2" s="2" t="inlineStr">
        <is>
          <t>JOHANN MATIAS HINESTROZA BUITRAGO</t>
        </is>
      </c>
      <c r="E2" s="2" t="inlineStr">
        <is>
          <t>1023412232</t>
        </is>
      </c>
      <c r="F2" s="2" t="n">
        <v>3</v>
      </c>
      <c r="G2" s="2" t="n">
        <v>301</v>
      </c>
      <c r="H2" s="2" t="inlineStr">
        <is>
          <t>MATEMÁTICAS</t>
        </is>
      </c>
      <c r="I2" s="2" t="inlineStr">
        <is>
          <t>D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D</t>
        </is>
      </c>
      <c r="AB2" s="4" t="inlineStr">
        <is>
          <t>INCORRECTO</t>
        </is>
      </c>
      <c r="AC2" s="2" t="inlineStr">
        <is>
          <t>D</t>
        </is>
      </c>
      <c r="AD2" s="3" t="inlineStr">
        <is>
          <t>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D</t>
        </is>
      </c>
      <c r="AJ2" s="3" t="inlineStr">
        <is>
          <t>CORRECTO</t>
        </is>
      </c>
      <c r="AK2" s="2" t="inlineStr">
        <is>
          <t>C</t>
        </is>
      </c>
      <c r="AL2" s="4" t="inlineStr">
        <is>
          <t>INCORRECTO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>
        <is>
          <t>TRATADO</t>
        </is>
      </c>
      <c r="B3" s="2" t="inlineStr">
        <is>
          <t>111001800635</t>
        </is>
      </c>
      <c r="C3" s="2" t="inlineStr">
        <is>
          <t>COLEGIO EL NOGAL (IED)</t>
        </is>
      </c>
      <c r="D3" s="2" t="inlineStr">
        <is>
          <t>EVELIN NATALIA GONZALEZ VELASCO</t>
        </is>
      </c>
      <c r="E3" s="2" t="inlineStr">
        <is>
          <t>1029297020</t>
        </is>
      </c>
      <c r="F3" s="2" t="n">
        <v>3</v>
      </c>
      <c r="G3" s="2" t="n">
        <v>301</v>
      </c>
      <c r="H3" s="2" t="inlineStr">
        <is>
          <t>MATEMÁTICAS</t>
        </is>
      </c>
      <c r="I3" s="2" t="inlineStr">
        <is>
          <t>D</t>
        </is>
      </c>
      <c r="J3" s="3" t="inlineStr">
        <is>
          <t>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D</t>
        </is>
      </c>
      <c r="X3" s="3" t="inlineStr">
        <is>
          <t>CORRECTO</t>
        </is>
      </c>
      <c r="Y3" s="2" t="inlineStr">
        <is>
          <t>B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3" t="inlineStr">
        <is>
          <t>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4" t="inlineStr">
        <is>
          <t>INCORRECTO</t>
        </is>
      </c>
      <c r="AK3" s="2" t="inlineStr">
        <is>
          <t>C</t>
        </is>
      </c>
      <c r="AL3" s="4" t="inlineStr">
        <is>
          <t>INCORRECTO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>
        <is>
          <t>TRATADO</t>
        </is>
      </c>
      <c r="B4" s="2" t="inlineStr">
        <is>
          <t>111001800635</t>
        </is>
      </c>
      <c r="C4" s="2" t="inlineStr">
        <is>
          <t>COLEGIO EL NOGAL (IED)</t>
        </is>
      </c>
      <c r="D4" s="2" t="inlineStr">
        <is>
          <t>SARA SOFIA ORTIZ RITACUBA</t>
        </is>
      </c>
      <c r="E4" s="2" t="inlineStr">
        <is>
          <t>1222217382</t>
        </is>
      </c>
      <c r="F4" s="2" t="n">
        <v>3</v>
      </c>
      <c r="G4" s="2" t="n">
        <v>301</v>
      </c>
      <c r="H4" s="2" t="inlineStr">
        <is>
          <t>MATEMÁTICAS</t>
        </is>
      </c>
      <c r="I4" s="2" t="inlineStr">
        <is>
          <t>D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C</t>
        </is>
      </c>
      <c r="V4" s="4" t="inlineStr">
        <is>
          <t>INCORRECTO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D</t>
        </is>
      </c>
      <c r="AD4" s="3" t="inlineStr">
        <is>
          <t>CORRECTO</t>
        </is>
      </c>
      <c r="AE4" s="2" t="inlineStr">
        <is>
          <t>C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D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>
        <is>
          <t>TRATADO</t>
        </is>
      </c>
      <c r="B5" s="2" t="inlineStr">
        <is>
          <t>111001800635</t>
        </is>
      </c>
      <c r="C5" s="2" t="inlineStr">
        <is>
          <t>COLEGIO EL NOGAL (IED)</t>
        </is>
      </c>
      <c r="D5" s="2" t="inlineStr">
        <is>
          <t>MATHIAS QUINTERO NOSSA</t>
        </is>
      </c>
      <c r="E5" s="2" t="inlineStr">
        <is>
          <t>1011250724</t>
        </is>
      </c>
      <c r="F5" s="2" t="n">
        <v>3</v>
      </c>
      <c r="G5" s="2" t="n">
        <v>301</v>
      </c>
      <c r="H5" s="2" t="inlineStr">
        <is>
          <t>MATEMÁTICAS</t>
        </is>
      </c>
      <c r="I5" s="2" t="inlineStr">
        <is>
          <t>D</t>
        </is>
      </c>
      <c r="J5" s="3" t="inlineStr">
        <is>
          <t>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D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D</t>
        </is>
      </c>
      <c r="AD5" s="3" t="inlineStr">
        <is>
          <t>CORRECTO</t>
        </is>
      </c>
      <c r="AE5" s="2" t="inlineStr">
        <is>
          <t>D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3" t="inlineStr">
        <is>
          <t>CORRECTO</t>
        </is>
      </c>
      <c r="AK5" s="2" t="inlineStr">
        <is>
          <t>B</t>
        </is>
      </c>
      <c r="AL5" s="4" t="inlineStr">
        <is>
          <t>INCORRECTO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>
        <is>
          <t>TRATADO</t>
        </is>
      </c>
      <c r="B6" s="2" t="inlineStr">
        <is>
          <t>111001800635</t>
        </is>
      </c>
      <c r="C6" s="2" t="inlineStr">
        <is>
          <t>COLEGIO EL NOGAL (IED)</t>
        </is>
      </c>
      <c r="D6" s="2" t="inlineStr">
        <is>
          <t>LINDA SALOME RODRIGUEZ CUBILLOS</t>
        </is>
      </c>
      <c r="E6" s="2" t="inlineStr">
        <is>
          <t>1013689158</t>
        </is>
      </c>
      <c r="F6" s="2" t="n">
        <v>3</v>
      </c>
      <c r="G6" s="2" t="n">
        <v>301</v>
      </c>
      <c r="H6" s="2" t="inlineStr">
        <is>
          <t>MATEMÁTICAS</t>
        </is>
      </c>
      <c r="I6" s="2" t="inlineStr">
        <is>
          <t>D</t>
        </is>
      </c>
      <c r="J6" s="3" t="inlineStr">
        <is>
          <t>CORRECTO</t>
        </is>
      </c>
      <c r="K6" s="2" t="inlineStr">
        <is>
          <t>A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D</t>
        </is>
      </c>
      <c r="AD6" s="3" t="inlineStr">
        <is>
          <t>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D</t>
        </is>
      </c>
      <c r="AJ6" s="3" t="inlineStr">
        <is>
          <t>CORRECTO</t>
        </is>
      </c>
      <c r="AK6" s="2" t="inlineStr">
        <is>
          <t>C</t>
        </is>
      </c>
      <c r="AL6" s="4" t="inlineStr">
        <is>
          <t>INCORRECTO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>
        <is>
          <t>TRATADO</t>
        </is>
      </c>
      <c r="B7" s="2" t="inlineStr">
        <is>
          <t>111001800635</t>
        </is>
      </c>
      <c r="C7" s="2" t="inlineStr">
        <is>
          <t>COLEGIO EL NOGAL (IED)</t>
        </is>
      </c>
      <c r="D7" s="2" t="inlineStr">
        <is>
          <t>DILAN SAMUEL RAMOS CASTRO</t>
        </is>
      </c>
      <c r="E7" s="2" t="inlineStr">
        <is>
          <t>1010247162</t>
        </is>
      </c>
      <c r="F7" s="2" t="n">
        <v>3</v>
      </c>
      <c r="G7" s="2" t="n">
        <v>301</v>
      </c>
      <c r="H7" s="2" t="inlineStr">
        <is>
          <t>MATEMÁTICAS</t>
        </is>
      </c>
      <c r="I7" s="2" t="inlineStr">
        <is>
          <t>D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C</t>
        </is>
      </c>
      <c r="R7" s="4" t="inlineStr">
        <is>
          <t>INCORRECTO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D</t>
        </is>
      </c>
      <c r="AD7" s="3" t="inlineStr">
        <is>
          <t>CORRECTO</t>
        </is>
      </c>
      <c r="AE7" s="2" t="inlineStr">
        <is>
          <t>D</t>
        </is>
      </c>
      <c r="AF7" s="3" t="inlineStr">
        <is>
          <t>CORRECTO</t>
        </is>
      </c>
      <c r="AG7" s="2" t="inlineStr">
        <is>
          <t>D</t>
        </is>
      </c>
      <c r="AH7" s="4" t="inlineStr">
        <is>
          <t>INCORRECTO</t>
        </is>
      </c>
      <c r="AI7" s="2" t="inlineStr">
        <is>
          <t>D</t>
        </is>
      </c>
      <c r="AJ7" s="3" t="inlineStr">
        <is>
          <t>CORRECTO</t>
        </is>
      </c>
      <c r="AK7" s="2" t="inlineStr">
        <is>
          <t>B</t>
        </is>
      </c>
      <c r="AL7" s="4" t="inlineStr">
        <is>
          <t>INCORRECTO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>
        <is>
          <t>TRATADO</t>
        </is>
      </c>
      <c r="B8" s="2" t="inlineStr">
        <is>
          <t>111001800635</t>
        </is>
      </c>
      <c r="C8" s="2" t="inlineStr">
        <is>
          <t>COLEGIO EL NOGAL (IED)</t>
        </is>
      </c>
      <c r="D8" s="2" t="inlineStr">
        <is>
          <t>MARTIN FELIPE ALEGRIA VILLANUEVA</t>
        </is>
      </c>
      <c r="E8" s="2" t="inlineStr">
        <is>
          <t>1024601143</t>
        </is>
      </c>
      <c r="F8" s="2" t="n">
        <v>3</v>
      </c>
      <c r="G8" s="2" t="n">
        <v>301</v>
      </c>
      <c r="H8" s="2" t="inlineStr">
        <is>
          <t>MATEMÁTICAS</t>
        </is>
      </c>
      <c r="I8" s="2" t="inlineStr">
        <is>
          <t>D</t>
        </is>
      </c>
      <c r="J8" s="3" t="inlineStr">
        <is>
          <t>CORRECTO</t>
        </is>
      </c>
      <c r="K8" s="2" t="inlineStr">
        <is>
          <t>A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D</t>
        </is>
      </c>
      <c r="AD8" s="3" t="inlineStr">
        <is>
          <t>CORRECTO</t>
        </is>
      </c>
      <c r="AE8" s="2" t="inlineStr">
        <is>
          <t>D</t>
        </is>
      </c>
      <c r="AF8" s="3" t="inlineStr">
        <is>
          <t>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D</t>
        </is>
      </c>
      <c r="AJ8" s="3" t="inlineStr">
        <is>
          <t>CORRECTO</t>
        </is>
      </c>
      <c r="AK8" s="2" t="inlineStr">
        <is>
          <t>B</t>
        </is>
      </c>
      <c r="AL8" s="4" t="inlineStr">
        <is>
          <t>INCORRECTO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>
        <is>
          <t>TRATADO</t>
        </is>
      </c>
      <c r="B9" s="2" t="inlineStr">
        <is>
          <t>111001800635</t>
        </is>
      </c>
      <c r="C9" s="2" t="inlineStr">
        <is>
          <t>COLEGIO EL NOGAL (IED)</t>
        </is>
      </c>
      <c r="D9" s="2" t="inlineStr">
        <is>
          <t>CHARI SALOME HERREÑO QUITIAN</t>
        </is>
      </c>
      <c r="E9" s="2" t="inlineStr">
        <is>
          <t>1025562161</t>
        </is>
      </c>
      <c r="F9" s="2" t="n">
        <v>3</v>
      </c>
      <c r="G9" s="2" t="n">
        <v>301</v>
      </c>
      <c r="H9" s="2" t="inlineStr">
        <is>
          <t>MATEMÁTICAS</t>
        </is>
      </c>
      <c r="I9" s="2" t="inlineStr">
        <is>
          <t>D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D</t>
        </is>
      </c>
      <c r="AD9" s="3" t="inlineStr">
        <is>
          <t>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D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>
        <is>
          <t>TRATADO</t>
        </is>
      </c>
      <c r="B10" s="2" t="inlineStr">
        <is>
          <t>111001800635</t>
        </is>
      </c>
      <c r="C10" s="2" t="inlineStr">
        <is>
          <t>COLEGIO EL NOGAL (IED)</t>
        </is>
      </c>
      <c r="D10" s="2" t="inlineStr">
        <is>
          <t>JHOAN STEVAN SOTELO CONTRERAS</t>
        </is>
      </c>
      <c r="E10" s="2" t="inlineStr">
        <is>
          <t>1024596859</t>
        </is>
      </c>
      <c r="F10" s="2" t="n">
        <v>3</v>
      </c>
      <c r="G10" s="2" t="n">
        <v>301</v>
      </c>
      <c r="H10" s="2" t="inlineStr">
        <is>
          <t>MATEMÁTICAS</t>
        </is>
      </c>
      <c r="I10" s="2" t="inlineStr">
        <is>
          <t>D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D</t>
        </is>
      </c>
      <c r="AD10" s="3" t="inlineStr">
        <is>
          <t>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D</t>
        </is>
      </c>
      <c r="AH10" s="4" t="inlineStr">
        <is>
          <t>INCORRECTO</t>
        </is>
      </c>
      <c r="AI10" s="2" t="inlineStr">
        <is>
          <t>D</t>
        </is>
      </c>
      <c r="AJ10" s="3" t="inlineStr">
        <is>
          <t>CORRECTO</t>
        </is>
      </c>
      <c r="AK10" s="2" t="inlineStr">
        <is>
          <t>C</t>
        </is>
      </c>
      <c r="AL10" s="4" t="inlineStr">
        <is>
          <t>INCORRECTO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>
        <is>
          <t>TRATADO</t>
        </is>
      </c>
      <c r="B11" s="2" t="inlineStr">
        <is>
          <t>111001800635</t>
        </is>
      </c>
      <c r="C11" s="2" t="inlineStr">
        <is>
          <t>COLEGIO EL NOGAL (IED)</t>
        </is>
      </c>
      <c r="D11" s="2" t="inlineStr">
        <is>
          <t>MARIANA SALOME MOLINA CORTES</t>
        </is>
      </c>
      <c r="E11" s="2" t="inlineStr">
        <is>
          <t>1032509066</t>
        </is>
      </c>
      <c r="F11" s="2" t="n">
        <v>3</v>
      </c>
      <c r="G11" s="2" t="n">
        <v>301</v>
      </c>
      <c r="H11" s="2" t="inlineStr">
        <is>
          <t>MATEMÁTICAS</t>
        </is>
      </c>
      <c r="I11" s="2" t="inlineStr">
        <is>
          <t>D</t>
        </is>
      </c>
      <c r="J11" s="3" t="inlineStr">
        <is>
          <t>CORRECTO</t>
        </is>
      </c>
      <c r="K11" s="2" t="inlineStr">
        <is>
          <t>A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4" t="inlineStr">
        <is>
          <t>INCORRECTO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D</t>
        </is>
      </c>
      <c r="AD11" s="3" t="inlineStr">
        <is>
          <t>CORRECTO</t>
        </is>
      </c>
      <c r="AE11" s="2" t="inlineStr">
        <is>
          <t>C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D</t>
        </is>
      </c>
      <c r="AJ11" s="3" t="inlineStr">
        <is>
          <t>CORRECTO</t>
        </is>
      </c>
      <c r="AK11" s="2" t="inlineStr">
        <is>
          <t>B</t>
        </is>
      </c>
      <c r="AL11" s="4" t="inlineStr">
        <is>
          <t>INCORRECTO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>
        <is>
          <t>TRATADO</t>
        </is>
      </c>
      <c r="B12" s="2" t="inlineStr">
        <is>
          <t>111001800635</t>
        </is>
      </c>
      <c r="C12" s="2" t="inlineStr">
        <is>
          <t>COLEGIO EL NOGAL (IED)</t>
        </is>
      </c>
      <c r="D12" s="2" t="inlineStr">
        <is>
          <t>MEIKEL SMAICK DELGADO ESPITIA</t>
        </is>
      </c>
      <c r="E12" s="2" t="inlineStr">
        <is>
          <t>1033820222</t>
        </is>
      </c>
      <c r="F12" s="2" t="n">
        <v>3</v>
      </c>
      <c r="G12" s="2" t="n">
        <v>301</v>
      </c>
      <c r="H12" s="2" t="inlineStr">
        <is>
          <t>MATEMÁTICAS</t>
        </is>
      </c>
      <c r="I12" s="2" t="inlineStr">
        <is>
          <t>D</t>
        </is>
      </c>
      <c r="J12" s="3" t="inlineStr">
        <is>
          <t>CORRECTO</t>
        </is>
      </c>
      <c r="K12" s="2" t="inlineStr">
        <is>
          <t>A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D</t>
        </is>
      </c>
      <c r="AD12" s="3" t="inlineStr">
        <is>
          <t>CORRECTO</t>
        </is>
      </c>
      <c r="AE12" s="2" t="inlineStr">
        <is>
          <t>D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3" t="inlineStr">
        <is>
          <t>CORRECTO</t>
        </is>
      </c>
      <c r="AK12" s="2" t="inlineStr">
        <is>
          <t>C</t>
        </is>
      </c>
      <c r="AL12" s="4" t="inlineStr">
        <is>
          <t>INCORRECTO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>
        <is>
          <t>TRATADO</t>
        </is>
      </c>
      <c r="B13" s="2" t="inlineStr">
        <is>
          <t>111001800635</t>
        </is>
      </c>
      <c r="C13" s="2" t="inlineStr">
        <is>
          <t>COLEGIO EL NOGAL (IED)</t>
        </is>
      </c>
      <c r="D13" s="2" t="inlineStr">
        <is>
          <t>DANNA SOFIA SANDOVAL BELTRAN</t>
        </is>
      </c>
      <c r="E13" s="2" t="inlineStr">
        <is>
          <t>1013691570</t>
        </is>
      </c>
      <c r="F13" s="2" t="n">
        <v>3</v>
      </c>
      <c r="G13" s="2" t="n">
        <v>301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D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D</t>
        </is>
      </c>
      <c r="AD13" s="3" t="inlineStr">
        <is>
          <t>CORRECTO</t>
        </is>
      </c>
      <c r="AE13" s="2" t="inlineStr">
        <is>
          <t>D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3" t="inlineStr">
        <is>
          <t>CORRECTO</t>
        </is>
      </c>
      <c r="AK13" s="2" t="inlineStr">
        <is>
          <t>B</t>
        </is>
      </c>
      <c r="AL13" s="4" t="inlineStr">
        <is>
          <t>INCORRECTO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>
        <is>
          <t>TRATADO</t>
        </is>
      </c>
      <c r="B14" s="2" t="inlineStr">
        <is>
          <t>111001800635</t>
        </is>
      </c>
      <c r="C14" s="2" t="inlineStr">
        <is>
          <t>COLEGIO EL NOGAL (IED)</t>
        </is>
      </c>
      <c r="D14" s="2" t="inlineStr">
        <is>
          <t>SAMUEL ADOLFO NISPERUZA BELTRAN</t>
        </is>
      </c>
      <c r="E14" s="2" t="inlineStr">
        <is>
          <t>1141137071</t>
        </is>
      </c>
      <c r="F14" s="2" t="n">
        <v>3</v>
      </c>
      <c r="G14" s="2" t="n">
        <v>301</v>
      </c>
      <c r="H14" s="2" t="inlineStr">
        <is>
          <t>MATEMÁTICAS</t>
        </is>
      </c>
      <c r="I14" s="2" t="inlineStr">
        <is>
          <t>D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D</t>
        </is>
      </c>
      <c r="AD14" s="3" t="inlineStr">
        <is>
          <t>CORRECTO</t>
        </is>
      </c>
      <c r="AE14" s="2" t="inlineStr">
        <is>
          <t>C</t>
        </is>
      </c>
      <c r="AF14" s="4" t="inlineStr">
        <is>
          <t>INCORRECTO</t>
        </is>
      </c>
      <c r="AG14" s="2" t="inlineStr">
        <is>
          <t>A</t>
        </is>
      </c>
      <c r="AH14" s="4" t="inlineStr">
        <is>
          <t>INCORRECTO</t>
        </is>
      </c>
      <c r="AI14" s="2" t="inlineStr">
        <is>
          <t>D</t>
        </is>
      </c>
      <c r="AJ14" s="3" t="inlineStr">
        <is>
          <t>CORRECTO</t>
        </is>
      </c>
      <c r="AK14" s="2" t="inlineStr">
        <is>
          <t>C</t>
        </is>
      </c>
      <c r="AL14" s="4" t="inlineStr">
        <is>
          <t>INCORRECTO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>
        <is>
          <t>TRATADO</t>
        </is>
      </c>
      <c r="B15" s="2" t="inlineStr">
        <is>
          <t>111001800635</t>
        </is>
      </c>
      <c r="C15" s="2" t="inlineStr">
        <is>
          <t>COLEGIO EL NOGAL (IED)</t>
        </is>
      </c>
      <c r="D15" s="2" t="inlineStr">
        <is>
          <t>JUAN PABLO LINERO GONZALEZ</t>
        </is>
      </c>
      <c r="E15" s="2" t="inlineStr">
        <is>
          <t>1024603369</t>
        </is>
      </c>
      <c r="F15" s="2" t="n">
        <v>3</v>
      </c>
      <c r="G15" s="2" t="n">
        <v>301</v>
      </c>
      <c r="H15" s="2" t="inlineStr">
        <is>
          <t>MATEMÁTICAS</t>
        </is>
      </c>
      <c r="I15" s="2" t="inlineStr">
        <is>
          <t>D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B</t>
        </is>
      </c>
      <c r="N15" s="4" t="inlineStr">
        <is>
          <t>INCORRECTO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C</t>
        </is>
      </c>
      <c r="R15" s="4" t="inlineStr">
        <is>
          <t>INCORRECTO</t>
        </is>
      </c>
      <c r="S15" s="2" t="inlineStr">
        <is>
          <t>A</t>
        </is>
      </c>
      <c r="T15" s="4" t="inlineStr">
        <is>
          <t>INCORRECTO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3" t="inlineStr">
        <is>
          <t>CORRECTO</t>
        </is>
      </c>
      <c r="AE15" s="2" t="inlineStr">
        <is>
          <t>C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D</t>
        </is>
      </c>
      <c r="AJ15" s="3" t="inlineStr">
        <is>
          <t>CORRECTO</t>
        </is>
      </c>
      <c r="AK15" s="2" t="inlineStr">
        <is>
          <t>C</t>
        </is>
      </c>
      <c r="AL15" s="4" t="inlineStr">
        <is>
          <t>INCORRECTO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>
        <is>
          <t>TRATADO</t>
        </is>
      </c>
      <c r="B16" s="2" t="inlineStr">
        <is>
          <t>111001800635</t>
        </is>
      </c>
      <c r="C16" s="2" t="inlineStr">
        <is>
          <t>COLEGIO EL NOGAL (IED)</t>
        </is>
      </c>
      <c r="D16" s="2" t="inlineStr">
        <is>
          <t>SHAIRA ISABELL GRAJALES ROA</t>
        </is>
      </c>
      <c r="E16" s="2" t="inlineStr">
        <is>
          <t>1024597675</t>
        </is>
      </c>
      <c r="F16" s="2" t="n">
        <v>3</v>
      </c>
      <c r="G16" s="2" t="n">
        <v>301</v>
      </c>
      <c r="H16" s="2" t="inlineStr">
        <is>
          <t>MATEMÁTICAS</t>
        </is>
      </c>
      <c r="I16" s="2" t="inlineStr">
        <is>
          <t>D</t>
        </is>
      </c>
      <c r="J16" s="3" t="inlineStr">
        <is>
          <t>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D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3" t="inlineStr">
        <is>
          <t>CORRECTO</t>
        </is>
      </c>
      <c r="AE16" s="2" t="inlineStr">
        <is>
          <t>C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>
        <is>
          <t>TRATADO</t>
        </is>
      </c>
      <c r="B17" s="2" t="inlineStr">
        <is>
          <t>111001800635</t>
        </is>
      </c>
      <c r="C17" s="2" t="inlineStr">
        <is>
          <t>COLEGIO EL NOGAL (IED)</t>
        </is>
      </c>
      <c r="D17" s="2" t="inlineStr">
        <is>
          <t>SAMUEL SANTIAGO HERNANDEZ COBOS</t>
        </is>
      </c>
      <c r="E17" s="2" t="inlineStr">
        <is>
          <t>1024598498</t>
        </is>
      </c>
      <c r="F17" s="2" t="n">
        <v>3</v>
      </c>
      <c r="G17" s="2" t="n">
        <v>301</v>
      </c>
      <c r="H17" s="2" t="inlineStr">
        <is>
          <t>MATEMÁTICAS</t>
        </is>
      </c>
      <c r="I17" s="2" t="inlineStr">
        <is>
          <t>D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4" t="inlineStr">
        <is>
          <t>INCORRECTO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D</t>
        </is>
      </c>
      <c r="AD17" s="3" t="inlineStr">
        <is>
          <t>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>
        <is>
          <t>TRATADO</t>
        </is>
      </c>
      <c r="B18" s="2" t="inlineStr">
        <is>
          <t>111001800635</t>
        </is>
      </c>
      <c r="C18" s="2" t="inlineStr">
        <is>
          <t>COLEGIO EL NOGAL (IED)</t>
        </is>
      </c>
      <c r="D18" s="2" t="inlineStr">
        <is>
          <t>EILEN SAMARA GALVEZ RIZACUBA</t>
        </is>
      </c>
      <c r="E18" s="2" t="inlineStr">
        <is>
          <t>1206222637</t>
        </is>
      </c>
      <c r="F18" s="2" t="n">
        <v>3</v>
      </c>
      <c r="G18" s="2" t="n">
        <v>301</v>
      </c>
      <c r="H18" s="2" t="inlineStr">
        <is>
          <t>MATEMÁTICAS</t>
        </is>
      </c>
      <c r="I18" s="2" t="inlineStr">
        <is>
          <t>D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3" t="inlineStr">
        <is>
          <t>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D</t>
        </is>
      </c>
      <c r="AJ18" s="3" t="inlineStr">
        <is>
          <t>CORRECTO</t>
        </is>
      </c>
      <c r="AK18" s="2" t="inlineStr">
        <is>
          <t>B</t>
        </is>
      </c>
      <c r="AL18" s="4" t="inlineStr">
        <is>
          <t>INCORRECTO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>
        <is>
          <t>TRATADO</t>
        </is>
      </c>
      <c r="B19" s="2" t="inlineStr">
        <is>
          <t>111001800635</t>
        </is>
      </c>
      <c r="C19" s="2" t="inlineStr">
        <is>
          <t>COLEGIO EL NOGAL (IED)</t>
        </is>
      </c>
      <c r="D19" s="2" t="inlineStr">
        <is>
          <t>CRISTOPHER MARTIN RODRIGUEZ CALDERON</t>
        </is>
      </c>
      <c r="E19" s="2" t="inlineStr">
        <is>
          <t>1030702251</t>
        </is>
      </c>
      <c r="F19" s="2" t="n">
        <v>3</v>
      </c>
      <c r="G19" s="2" t="n">
        <v>301</v>
      </c>
      <c r="H19" s="2" t="inlineStr">
        <is>
          <t>MATEMÁTICAS</t>
        </is>
      </c>
      <c r="I19" s="2" t="inlineStr">
        <is>
          <t>D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4" t="inlineStr">
        <is>
          <t>INCORRECTO</t>
        </is>
      </c>
      <c r="Q19" s="2" t="inlineStr">
        <is>
          <t>D</t>
        </is>
      </c>
      <c r="R19" s="4" t="inlineStr">
        <is>
          <t>INCORRECTO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D</t>
        </is>
      </c>
      <c r="AD19" s="3" t="inlineStr">
        <is>
          <t>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D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>
        <is>
          <t>TRATADO</t>
        </is>
      </c>
      <c r="B20" s="2" t="inlineStr">
        <is>
          <t>111001800635</t>
        </is>
      </c>
      <c r="C20" s="2" t="inlineStr">
        <is>
          <t>COLEGIO EL NOGAL (IED)</t>
        </is>
      </c>
      <c r="D20" s="2" t="inlineStr">
        <is>
          <t>SARA ALEJANDRA MENDOZA BARRERA</t>
        </is>
      </c>
      <c r="E20" s="2" t="inlineStr">
        <is>
          <t>1024600074</t>
        </is>
      </c>
      <c r="F20" s="2" t="n">
        <v>3</v>
      </c>
      <c r="G20" s="2" t="n">
        <v>301</v>
      </c>
      <c r="H20" s="2" t="inlineStr">
        <is>
          <t>MATEMÁTICAS</t>
        </is>
      </c>
      <c r="I20" s="2" t="inlineStr">
        <is>
          <t>D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D</t>
        </is>
      </c>
      <c r="AJ20" s="3" t="inlineStr">
        <is>
          <t>CORRECTO</t>
        </is>
      </c>
      <c r="AK20" s="2" t="inlineStr"/>
      <c r="AL20" s="4" t="inlineStr">
        <is>
          <t>INCORRECTO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>
        <is>
          <t>TRATADO</t>
        </is>
      </c>
      <c r="B21" s="2" t="inlineStr">
        <is>
          <t>111001800635</t>
        </is>
      </c>
      <c r="C21" s="2" t="inlineStr">
        <is>
          <t>COLEGIO EL NOGAL (IED)</t>
        </is>
      </c>
      <c r="D21" s="2" t="inlineStr">
        <is>
          <t>IAN MIGUEL SANCHEZ LOPEZ</t>
        </is>
      </c>
      <c r="E21" s="2" t="inlineStr">
        <is>
          <t>1023412551</t>
        </is>
      </c>
      <c r="F21" s="2" t="n">
        <v>3</v>
      </c>
      <c r="G21" s="2" t="n">
        <v>301</v>
      </c>
      <c r="H21" s="2" t="inlineStr">
        <is>
          <t>MATEMÁTICAS</t>
        </is>
      </c>
      <c r="I21" s="2" t="inlineStr">
        <is>
          <t>D</t>
        </is>
      </c>
      <c r="J21" s="3" t="inlineStr">
        <is>
          <t>CORRECTO</t>
        </is>
      </c>
      <c r="K21" s="2" t="inlineStr">
        <is>
          <t>A</t>
        </is>
      </c>
      <c r="L21" s="4" t="inlineStr">
        <is>
          <t>INCORRECTO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D</t>
        </is>
      </c>
      <c r="AD21" s="3" t="inlineStr">
        <is>
          <t>CORRECTO</t>
        </is>
      </c>
      <c r="AE21" s="2" t="inlineStr">
        <is>
          <t>D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3" t="inlineStr">
        <is>
          <t>CORRECTO</t>
        </is>
      </c>
      <c r="AK21" s="2" t="inlineStr">
        <is>
          <t>C</t>
        </is>
      </c>
      <c r="AL21" s="4" t="inlineStr">
        <is>
          <t>INCORRECTO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>
        <is>
          <t>TRATADO</t>
        </is>
      </c>
      <c r="B22" s="2" t="inlineStr">
        <is>
          <t>111001800635</t>
        </is>
      </c>
      <c r="C22" s="2" t="inlineStr">
        <is>
          <t>COLEGIO EL NOGAL (IED)</t>
        </is>
      </c>
      <c r="D22" s="2" t="inlineStr">
        <is>
          <t>JOEL DANIEL NOVA LANCHEROS</t>
        </is>
      </c>
      <c r="E22" s="2" t="inlineStr">
        <is>
          <t>1023412172</t>
        </is>
      </c>
      <c r="F22" s="2" t="n">
        <v>3</v>
      </c>
      <c r="G22" s="2" t="n">
        <v>301</v>
      </c>
      <c r="H22" s="2" t="inlineStr">
        <is>
          <t>MATEMÁTICAS</t>
        </is>
      </c>
      <c r="I22" s="2" t="inlineStr">
        <is>
          <t>D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3" t="inlineStr">
        <is>
          <t>CORRECTO</t>
        </is>
      </c>
      <c r="AE22" s="2" t="inlineStr">
        <is>
          <t>C</t>
        </is>
      </c>
      <c r="AF22" s="4" t="inlineStr">
        <is>
          <t>INCORRECTO</t>
        </is>
      </c>
      <c r="AG22" s="2" t="inlineStr">
        <is>
          <t>D</t>
        </is>
      </c>
      <c r="AH22" s="4" t="inlineStr">
        <is>
          <t>INCORRECTO</t>
        </is>
      </c>
      <c r="AI22" s="2" t="inlineStr">
        <is>
          <t>D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>
        <is>
          <t>TRATADO</t>
        </is>
      </c>
      <c r="B23" s="2" t="inlineStr">
        <is>
          <t>111001800635</t>
        </is>
      </c>
      <c r="C23" s="2" t="inlineStr">
        <is>
          <t>COLEGIO EL NOGAL (IED)</t>
        </is>
      </c>
      <c r="D23" s="2" t="inlineStr">
        <is>
          <t>MARIA PAULA TEJADA URIBE</t>
        </is>
      </c>
      <c r="E23" s="2" t="inlineStr">
        <is>
          <t>1028672837</t>
        </is>
      </c>
      <c r="F23" s="2" t="n">
        <v>3</v>
      </c>
      <c r="G23" s="2" t="n">
        <v>301</v>
      </c>
      <c r="H23" s="2" t="inlineStr">
        <is>
          <t>MATEMÁTICAS</t>
        </is>
      </c>
      <c r="I23" s="2" t="inlineStr">
        <is>
          <t>D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D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D</t>
        </is>
      </c>
      <c r="AD23" s="3" t="inlineStr">
        <is>
          <t>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D</t>
        </is>
      </c>
      <c r="AJ23" s="3" t="inlineStr">
        <is>
          <t>CORRECTO</t>
        </is>
      </c>
      <c r="AK23" s="2" t="inlineStr">
        <is>
          <t>C</t>
        </is>
      </c>
      <c r="AL23" s="4" t="inlineStr">
        <is>
          <t>INCORRECTO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>
        <is>
          <t>TRATADO</t>
        </is>
      </c>
      <c r="B24" s="2" t="inlineStr">
        <is>
          <t>111001800635</t>
        </is>
      </c>
      <c r="C24" s="2" t="inlineStr">
        <is>
          <t>COLEGIO EL NOGAL (IED)</t>
        </is>
      </c>
      <c r="D24" s="2" t="inlineStr">
        <is>
          <t>DULCE MARTINA CARMONA DUCUARA</t>
        </is>
      </c>
      <c r="E24" s="2" t="inlineStr">
        <is>
          <t>1072963819</t>
        </is>
      </c>
      <c r="F24" s="2" t="n">
        <v>3</v>
      </c>
      <c r="G24" s="2" t="n">
        <v>301</v>
      </c>
      <c r="H24" s="2" t="inlineStr">
        <is>
          <t>MATEMÁTICAS</t>
        </is>
      </c>
      <c r="I24" s="2" t="inlineStr">
        <is>
          <t>D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C</t>
        </is>
      </c>
      <c r="V24" s="4" t="inlineStr">
        <is>
          <t>INCORRECTO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D</t>
        </is>
      </c>
      <c r="AD24" s="3" t="inlineStr">
        <is>
          <t>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4" t="inlineStr">
        <is>
          <t>INCORRECTO</t>
        </is>
      </c>
      <c r="AK24" s="2" t="inlineStr">
        <is>
          <t>B</t>
        </is>
      </c>
      <c r="AL24" s="4" t="inlineStr">
        <is>
          <t>INCORRECTO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>
        <is>
          <t>TRATADO</t>
        </is>
      </c>
      <c r="B25" s="2" t="inlineStr">
        <is>
          <t>111001800635</t>
        </is>
      </c>
      <c r="C25" s="2" t="inlineStr">
        <is>
          <t>COLEGIO EL NOGAL (IED)</t>
        </is>
      </c>
      <c r="D25" s="2" t="inlineStr">
        <is>
          <t>CRISTIAN FELIPE TIQUE YAGUARA</t>
        </is>
      </c>
      <c r="E25" s="2" t="inlineStr">
        <is>
          <t>1024597732</t>
        </is>
      </c>
      <c r="F25" s="2" t="n">
        <v>3</v>
      </c>
      <c r="G25" s="2" t="n">
        <v>301</v>
      </c>
      <c r="H25" s="2" t="inlineStr">
        <is>
          <t>MATEMÁTICAS</t>
        </is>
      </c>
      <c r="I25" s="2" t="inlineStr">
        <is>
          <t>D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4" t="inlineStr">
        <is>
          <t>INCORRECTO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D</t>
        </is>
      </c>
      <c r="AD25" s="3" t="inlineStr">
        <is>
          <t>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B</t>
        </is>
      </c>
      <c r="AL25" s="4" t="inlineStr">
        <is>
          <t>INCORRECTO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>
        <is>
          <t>TRATADO</t>
        </is>
      </c>
      <c r="B26" s="2" t="inlineStr">
        <is>
          <t>111001800635</t>
        </is>
      </c>
      <c r="C26" s="2" t="inlineStr">
        <is>
          <t>COLEGIO EL NOGAL (IED)</t>
        </is>
      </c>
      <c r="D26" s="2" t="inlineStr">
        <is>
          <t>IAN SEBASTIAN ORTIZ FAJARDO</t>
        </is>
      </c>
      <c r="E26" s="2" t="inlineStr">
        <is>
          <t>1024600844</t>
        </is>
      </c>
      <c r="F26" s="2" t="n">
        <v>3</v>
      </c>
      <c r="G26" s="2" t="n">
        <v>301</v>
      </c>
      <c r="H26" s="2" t="inlineStr">
        <is>
          <t>MATEMÁTICAS</t>
        </is>
      </c>
      <c r="I26" s="2" t="inlineStr">
        <is>
          <t>D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D</t>
        </is>
      </c>
      <c r="AD26" s="3" t="inlineStr">
        <is>
          <t>CORRECTO</t>
        </is>
      </c>
      <c r="AE26" s="2" t="inlineStr">
        <is>
          <t>C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D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>
        <is>
          <t>TRATADO</t>
        </is>
      </c>
      <c r="B27" s="2" t="inlineStr">
        <is>
          <t>111001800635</t>
        </is>
      </c>
      <c r="C27" s="2" t="inlineStr">
        <is>
          <t>COLEGIO EL NOGAL (IED)</t>
        </is>
      </c>
      <c r="D27" s="2" t="inlineStr">
        <is>
          <t>VALERY LUCIANA ROMERO MAHECHA</t>
        </is>
      </c>
      <c r="E27" s="2" t="inlineStr">
        <is>
          <t>1033819970</t>
        </is>
      </c>
      <c r="F27" s="2" t="n">
        <v>3</v>
      </c>
      <c r="G27" s="2" t="n">
        <v>301</v>
      </c>
      <c r="H27" s="2" t="inlineStr">
        <is>
          <t>MATEMÁTICAS</t>
        </is>
      </c>
      <c r="I27" s="2" t="inlineStr">
        <is>
          <t>D</t>
        </is>
      </c>
      <c r="J27" s="3" t="inlineStr">
        <is>
          <t>CORRECTO</t>
        </is>
      </c>
      <c r="K27" s="2" t="inlineStr"/>
      <c r="L27" s="4" t="inlineStr">
        <is>
          <t>INCORRECTO</t>
        </is>
      </c>
      <c r="M27" s="2" t="inlineStr">
        <is>
          <t>A</t>
        </is>
      </c>
      <c r="N27" s="4" t="inlineStr">
        <is>
          <t>INCORRECTO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D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D</t>
        </is>
      </c>
      <c r="AD27" s="3" t="inlineStr">
        <is>
          <t>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D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>
        <is>
          <t>TRATADO</t>
        </is>
      </c>
      <c r="B28" s="2" t="inlineStr">
        <is>
          <t>111001800635</t>
        </is>
      </c>
      <c r="C28" s="2" t="inlineStr">
        <is>
          <t>COLEGIO EL NOGAL (IED)</t>
        </is>
      </c>
      <c r="D28" s="2" t="inlineStr">
        <is>
          <t>TOMAS BARRERA DIAZ</t>
        </is>
      </c>
      <c r="E28" s="2" t="inlineStr">
        <is>
          <t>1141360985</t>
        </is>
      </c>
      <c r="F28" s="2" t="n">
        <v>3</v>
      </c>
      <c r="G28" s="2" t="n">
        <v>301</v>
      </c>
      <c r="H28" s="2" t="inlineStr">
        <is>
          <t>MATEMÁTICAS</t>
        </is>
      </c>
      <c r="I28" s="2" t="inlineStr">
        <is>
          <t>D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D</t>
        </is>
      </c>
      <c r="V28" s="4" t="inlineStr">
        <is>
          <t>INCORRECTO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D</t>
        </is>
      </c>
      <c r="AD28" s="3" t="inlineStr">
        <is>
          <t>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D</t>
        </is>
      </c>
      <c r="AJ28" s="3" t="inlineStr">
        <is>
          <t>CORRECTO</t>
        </is>
      </c>
      <c r="AK28" s="2" t="inlineStr">
        <is>
          <t>C</t>
        </is>
      </c>
      <c r="AL28" s="4" t="inlineStr">
        <is>
          <t>INCORRECTO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>
        <is>
          <t>TRATADO</t>
        </is>
      </c>
      <c r="B29" s="2" t="inlineStr">
        <is>
          <t>111001800635</t>
        </is>
      </c>
      <c r="C29" s="2" t="inlineStr">
        <is>
          <t>COLEGIO EL NOGAL (IED)</t>
        </is>
      </c>
      <c r="D29" s="2" t="inlineStr">
        <is>
          <t>VALERY SOFIA BETANCOURT BETANCUR</t>
        </is>
      </c>
      <c r="E29" s="2" t="inlineStr">
        <is>
          <t>1028793031</t>
        </is>
      </c>
      <c r="F29" s="2" t="n">
        <v>3</v>
      </c>
      <c r="G29" s="2" t="n">
        <v>301</v>
      </c>
      <c r="H29" s="2" t="inlineStr">
        <is>
          <t>MATEMÁTICAS</t>
        </is>
      </c>
      <c r="I29" s="2" t="inlineStr">
        <is>
          <t>D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D</t>
        </is>
      </c>
      <c r="V29" s="4" t="inlineStr">
        <is>
          <t>INCORRECTO</t>
        </is>
      </c>
      <c r="W29" s="2" t="inlineStr">
        <is>
          <t>D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D</t>
        </is>
      </c>
      <c r="AD29" s="3" t="inlineStr">
        <is>
          <t>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D</t>
        </is>
      </c>
      <c r="AJ29" s="3" t="inlineStr">
        <is>
          <t>CORRECTO</t>
        </is>
      </c>
      <c r="AK29" s="2" t="inlineStr">
        <is>
          <t>B</t>
        </is>
      </c>
      <c r="AL29" s="4" t="inlineStr">
        <is>
          <t>INCORRECTO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>
        <is>
          <t>TRATADO</t>
        </is>
      </c>
      <c r="B30" s="2" t="inlineStr">
        <is>
          <t>111001800635</t>
        </is>
      </c>
      <c r="C30" s="2" t="inlineStr">
        <is>
          <t>COLEGIO EL NOGAL (IED)</t>
        </is>
      </c>
      <c r="D30" s="2" t="inlineStr">
        <is>
          <t>ANGEL DAVID BONILLA HUERTAS</t>
        </is>
      </c>
      <c r="E30" s="2" t="inlineStr">
        <is>
          <t>1025560727</t>
        </is>
      </c>
      <c r="F30" s="2" t="n">
        <v>3</v>
      </c>
      <c r="G30" s="2" t="n">
        <v>301</v>
      </c>
      <c r="H30" s="2" t="inlineStr">
        <is>
          <t>MATEMÁTICAS</t>
        </is>
      </c>
      <c r="I30" s="2" t="inlineStr">
        <is>
          <t>D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D</t>
        </is>
      </c>
      <c r="AD30" s="3" t="inlineStr">
        <is>
          <t>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D</t>
        </is>
      </c>
      <c r="AJ30" s="3" t="inlineStr">
        <is>
          <t>CORRECTO</t>
        </is>
      </c>
      <c r="AK30" s="2" t="inlineStr">
        <is>
          <t>C</t>
        </is>
      </c>
      <c r="AL30" s="4" t="inlineStr">
        <is>
          <t>INCORRECTO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>
        <is>
          <t>TRATADO</t>
        </is>
      </c>
      <c r="B31" s="2" t="inlineStr">
        <is>
          <t>111001800635</t>
        </is>
      </c>
      <c r="C31" s="2" t="inlineStr">
        <is>
          <t>COLEGIO EL NOGAL (IED)</t>
        </is>
      </c>
      <c r="D31" s="2" t="inlineStr">
        <is>
          <t>ERICK SAMUEL CAPERA GORDILLO</t>
        </is>
      </c>
      <c r="E31" s="2" t="inlineStr">
        <is>
          <t>1029296582</t>
        </is>
      </c>
      <c r="F31" s="2" t="n">
        <v>3</v>
      </c>
      <c r="G31" s="2" t="n">
        <v>301</v>
      </c>
      <c r="H31" s="2" t="inlineStr">
        <is>
          <t>MATEMÁTICAS</t>
        </is>
      </c>
      <c r="I31" s="2" t="inlineStr">
        <is>
          <t>D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D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D</t>
        </is>
      </c>
      <c r="AD31" s="3" t="inlineStr">
        <is>
          <t>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D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>
        <is>
          <t>TRATADO</t>
        </is>
      </c>
      <c r="B32" s="2" t="inlineStr">
        <is>
          <t>111001800635</t>
        </is>
      </c>
      <c r="C32" s="2" t="inlineStr">
        <is>
          <t>COLEGIO EL NOGAL (IED)</t>
        </is>
      </c>
      <c r="D32" s="2" t="inlineStr">
        <is>
          <t>SAMUEL JERONIMO CARRILLO VARGAS</t>
        </is>
      </c>
      <c r="E32" s="2" t="inlineStr">
        <is>
          <t>1023412100</t>
        </is>
      </c>
      <c r="F32" s="2" t="n">
        <v>3</v>
      </c>
      <c r="G32" s="2" t="n">
        <v>301</v>
      </c>
      <c r="H32" s="2" t="inlineStr">
        <is>
          <t>MATEMÁTICAS</t>
        </is>
      </c>
      <c r="I32" s="2" t="inlineStr">
        <is>
          <t>D</t>
        </is>
      </c>
      <c r="J32" s="3" t="inlineStr">
        <is>
          <t>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D</t>
        </is>
      </c>
      <c r="P32" s="4" t="inlineStr">
        <is>
          <t>INCORRECTO</t>
        </is>
      </c>
      <c r="Q32" s="2" t="inlineStr">
        <is>
          <t>C</t>
        </is>
      </c>
      <c r="R32" s="4" t="inlineStr">
        <is>
          <t>INCORRECTO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C</t>
        </is>
      </c>
      <c r="V32" s="4" t="inlineStr">
        <is>
          <t>INCORRECTO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D</t>
        </is>
      </c>
      <c r="AD32" s="3" t="inlineStr">
        <is>
          <t>CORRECTO</t>
        </is>
      </c>
      <c r="AE32" s="2" t="inlineStr">
        <is>
          <t>C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3" t="inlineStr">
        <is>
          <t>CORRECTO</t>
        </is>
      </c>
      <c r="AK32" s="2" t="inlineStr">
        <is>
          <t>D</t>
        </is>
      </c>
      <c r="AL32" s="4" t="inlineStr">
        <is>
          <t>INCORRECTO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>
        <is>
          <t>TRATADO</t>
        </is>
      </c>
      <c r="B33" s="2" t="inlineStr">
        <is>
          <t>111001800635</t>
        </is>
      </c>
      <c r="C33" s="2" t="inlineStr">
        <is>
          <t>COLEGIO EL NOGAL (IED)</t>
        </is>
      </c>
      <c r="D33" s="2" t="inlineStr">
        <is>
          <t>IAN SANTIAGO DELGADO CASCAVITA</t>
        </is>
      </c>
      <c r="E33" s="2" t="inlineStr">
        <is>
          <t>1011109501</t>
        </is>
      </c>
      <c r="F33" s="2" t="n">
        <v>3</v>
      </c>
      <c r="G33" s="2" t="n">
        <v>301</v>
      </c>
      <c r="H33" s="2" t="inlineStr">
        <is>
          <t>MATEMÁTICAS</t>
        </is>
      </c>
      <c r="I33" s="2" t="inlineStr">
        <is>
          <t>D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D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D</t>
        </is>
      </c>
      <c r="AD33" s="3" t="inlineStr">
        <is>
          <t>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>
        <is>
          <t>TRATADO</t>
        </is>
      </c>
      <c r="B34" s="2" t="inlineStr">
        <is>
          <t>111001800635</t>
        </is>
      </c>
      <c r="C34" s="2" t="inlineStr">
        <is>
          <t>COLEGIO EL NOGAL (IED)</t>
        </is>
      </c>
      <c r="D34" s="2" t="inlineStr">
        <is>
          <t>VALERIE DELGADILLO LEON</t>
        </is>
      </c>
      <c r="E34" s="2" t="inlineStr">
        <is>
          <t>1025561873</t>
        </is>
      </c>
      <c r="F34" s="2" t="n">
        <v>3</v>
      </c>
      <c r="G34" s="2" t="n">
        <v>301</v>
      </c>
      <c r="H34" s="2" t="inlineStr">
        <is>
          <t>MATEMÁTICAS</t>
        </is>
      </c>
      <c r="I34" s="2" t="inlineStr">
        <is>
          <t>D</t>
        </is>
      </c>
      <c r="J34" s="3" t="inlineStr">
        <is>
          <t>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D</t>
        </is>
      </c>
      <c r="AD34" s="3" t="inlineStr">
        <is>
          <t>CORRECTO</t>
        </is>
      </c>
      <c r="AE34" s="2" t="inlineStr">
        <is>
          <t>D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3" t="inlineStr">
        <is>
          <t>CORRECTO</t>
        </is>
      </c>
      <c r="AK34" s="2" t="inlineStr">
        <is>
          <t>C</t>
        </is>
      </c>
      <c r="AL34" s="4" t="inlineStr">
        <is>
          <t>INCORRECTO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>
        <is>
          <t>TRATADO</t>
        </is>
      </c>
      <c r="B35" s="2" t="inlineStr">
        <is>
          <t>111001800635</t>
        </is>
      </c>
      <c r="C35" s="2" t="inlineStr">
        <is>
          <t>COLEGIO EL NOGAL (IED)</t>
        </is>
      </c>
      <c r="D35" s="2" t="inlineStr">
        <is>
          <t>IAN SAMUEL CRUZ PACHON</t>
        </is>
      </c>
      <c r="E35" s="2" t="inlineStr">
        <is>
          <t>1023976632</t>
        </is>
      </c>
      <c r="F35" s="2" t="n">
        <v>3</v>
      </c>
      <c r="G35" s="2" t="n">
        <v>301</v>
      </c>
      <c r="H35" s="2" t="inlineStr">
        <is>
          <t>MATEMÁTICAS</t>
        </is>
      </c>
      <c r="I35" s="2" t="inlineStr">
        <is>
          <t>D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A</t>
        </is>
      </c>
      <c r="Z35" s="4" t="inlineStr">
        <is>
          <t>INCORRECTO</t>
        </is>
      </c>
      <c r="AA35" s="2" t="inlineStr"/>
      <c r="AB35" s="4" t="inlineStr">
        <is>
          <t>INCORRECTO</t>
        </is>
      </c>
      <c r="AC35" s="2" t="inlineStr">
        <is>
          <t>D</t>
        </is>
      </c>
      <c r="AD35" s="3" t="inlineStr">
        <is>
          <t>CORRECTO</t>
        </is>
      </c>
      <c r="AE35" s="2" t="inlineStr">
        <is>
          <t>D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D</t>
        </is>
      </c>
      <c r="AJ35" s="3" t="inlineStr">
        <is>
          <t>CORRECTO</t>
        </is>
      </c>
      <c r="AK35" s="2" t="inlineStr">
        <is>
          <t>C</t>
        </is>
      </c>
      <c r="AL35" s="4" t="inlineStr">
        <is>
          <t>INCORRECTO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>
        <is>
          <t>TRATADO</t>
        </is>
      </c>
      <c r="B36" s="2" t="inlineStr">
        <is>
          <t>111001800635</t>
        </is>
      </c>
      <c r="C36" s="2" t="inlineStr">
        <is>
          <t>COLEGIO EL NOGAL (IED)</t>
        </is>
      </c>
      <c r="D36" s="2" t="inlineStr">
        <is>
          <t>JERONIMO CUERVO DUQUE</t>
        </is>
      </c>
      <c r="E36" s="2" t="inlineStr">
        <is>
          <t>1025561669</t>
        </is>
      </c>
      <c r="F36" s="2" t="n">
        <v>3</v>
      </c>
      <c r="G36" s="2" t="n">
        <v>301</v>
      </c>
      <c r="H36" s="2" t="inlineStr">
        <is>
          <t>MATEMÁTICAS</t>
        </is>
      </c>
      <c r="I36" s="2" t="inlineStr">
        <is>
          <t>D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D</t>
        </is>
      </c>
      <c r="V36" s="4" t="inlineStr">
        <is>
          <t>INCORRECTO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D</t>
        </is>
      </c>
      <c r="AD36" s="3" t="inlineStr">
        <is>
          <t>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D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>
        <is>
          <t>TRATADO</t>
        </is>
      </c>
      <c r="B37" s="2" t="inlineStr">
        <is>
          <t>111001800635</t>
        </is>
      </c>
      <c r="C37" s="2" t="inlineStr">
        <is>
          <t>COLEGIO EL NOGAL (IED)</t>
        </is>
      </c>
      <c r="D37" s="2" t="inlineStr">
        <is>
          <t>JEREMY JOSUE GARCIA JUEZ</t>
        </is>
      </c>
      <c r="E37" s="2" t="inlineStr">
        <is>
          <t>1024603579</t>
        </is>
      </c>
      <c r="F37" s="2" t="n">
        <v>3</v>
      </c>
      <c r="G37" s="2" t="n">
        <v>301</v>
      </c>
      <c r="H37" s="2" t="inlineStr">
        <is>
          <t>MATEMÁTICAS</t>
        </is>
      </c>
      <c r="I37" s="2" t="inlineStr">
        <is>
          <t>D</t>
        </is>
      </c>
      <c r="J37" s="3" t="inlineStr">
        <is>
          <t>CORRECTO</t>
        </is>
      </c>
      <c r="K37" s="2" t="inlineStr">
        <is>
          <t>D</t>
        </is>
      </c>
      <c r="L37" s="4" t="inlineStr">
        <is>
          <t>INCORRECTO</t>
        </is>
      </c>
      <c r="M37" s="2" t="inlineStr">
        <is>
          <t>A</t>
        </is>
      </c>
      <c r="N37" s="4" t="inlineStr">
        <is>
          <t>INCORRECTO</t>
        </is>
      </c>
      <c r="O37" s="2" t="inlineStr">
        <is>
          <t>B</t>
        </is>
      </c>
      <c r="P37" s="4" t="inlineStr">
        <is>
          <t>INCORRECTO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D</t>
        </is>
      </c>
      <c r="AD37" s="3" t="inlineStr">
        <is>
          <t>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>
        <is>
          <t>TRATADO</t>
        </is>
      </c>
      <c r="B38" s="2" t="inlineStr">
        <is>
          <t>111001800635</t>
        </is>
      </c>
      <c r="C38" s="2" t="inlineStr">
        <is>
          <t>COLEGIO EL NOGAL (IED)</t>
        </is>
      </c>
      <c r="D38" s="2" t="inlineStr">
        <is>
          <t>LAURA ISABELLA GAVIRIA RODRIGUEZ</t>
        </is>
      </c>
      <c r="E38" s="2" t="inlineStr">
        <is>
          <t>1024599597</t>
        </is>
      </c>
      <c r="F38" s="2" t="n">
        <v>3</v>
      </c>
      <c r="G38" s="2" t="n">
        <v>301</v>
      </c>
      <c r="H38" s="2" t="inlineStr">
        <is>
          <t>MATEMÁTICAS</t>
        </is>
      </c>
      <c r="I38" s="2" t="inlineStr">
        <is>
          <t>D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D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D</t>
        </is>
      </c>
      <c r="AD38" s="3" t="inlineStr">
        <is>
          <t>CORRECTO</t>
        </is>
      </c>
      <c r="AE38" s="2" t="inlineStr">
        <is>
          <t>C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>
        <is>
          <t>TRATADO</t>
        </is>
      </c>
      <c r="B39" s="2" t="inlineStr">
        <is>
          <t>111001800635</t>
        </is>
      </c>
      <c r="C39" s="2" t="inlineStr">
        <is>
          <t>COLEGIO EL NOGAL (IED)</t>
        </is>
      </c>
      <c r="D39" s="2" t="inlineStr">
        <is>
          <t>IAN GIL OLAYA</t>
        </is>
      </c>
      <c r="E39" s="2" t="inlineStr">
        <is>
          <t>1023413374</t>
        </is>
      </c>
      <c r="F39" s="2" t="n">
        <v>3</v>
      </c>
      <c r="G39" s="2" t="n">
        <v>301</v>
      </c>
      <c r="H39" s="2" t="inlineStr">
        <is>
          <t>MATEMÁTICAS</t>
        </is>
      </c>
      <c r="I39" s="2" t="inlineStr">
        <is>
          <t>D</t>
        </is>
      </c>
      <c r="J39" s="3" t="inlineStr">
        <is>
          <t>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C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C</t>
        </is>
      </c>
      <c r="V39" s="4" t="inlineStr">
        <is>
          <t>INCORRECTO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D</t>
        </is>
      </c>
      <c r="AD39" s="3" t="inlineStr">
        <is>
          <t>CORRECTO</t>
        </is>
      </c>
      <c r="AE39" s="2" t="inlineStr">
        <is>
          <t>D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D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  <row r="40">
      <c r="A40" s="2" t="inlineStr">
        <is>
          <t>TRATADO</t>
        </is>
      </c>
      <c r="B40" s="2" t="inlineStr">
        <is>
          <t>111001800635</t>
        </is>
      </c>
      <c r="C40" s="2" t="inlineStr">
        <is>
          <t>COLEGIO EL NOGAL (IED)</t>
        </is>
      </c>
      <c r="D40" s="2" t="inlineStr">
        <is>
          <t>BRANDON FELIPE GIRAL PABON</t>
        </is>
      </c>
      <c r="E40" s="2" t="inlineStr">
        <is>
          <t>1023413883</t>
        </is>
      </c>
      <c r="F40" s="2" t="n">
        <v>3</v>
      </c>
      <c r="G40" s="2" t="n">
        <v>301</v>
      </c>
      <c r="H40" s="2" t="inlineStr">
        <is>
          <t>MATEMÁTICAS</t>
        </is>
      </c>
      <c r="I40" s="2" t="inlineStr">
        <is>
          <t>D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D</t>
        </is>
      </c>
      <c r="V40" s="4" t="inlineStr">
        <is>
          <t>INCORRECTO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D</t>
        </is>
      </c>
      <c r="Z40" s="4" t="inlineStr">
        <is>
          <t>INCORRECTO</t>
        </is>
      </c>
      <c r="AA40" s="2" t="inlineStr">
        <is>
          <t>D</t>
        </is>
      </c>
      <c r="AB40" s="4" t="inlineStr">
        <is>
          <t>INCORRECTO</t>
        </is>
      </c>
      <c r="AC40" s="2" t="inlineStr">
        <is>
          <t>D</t>
        </is>
      </c>
      <c r="AD40" s="3" t="inlineStr">
        <is>
          <t>CORRECTO</t>
        </is>
      </c>
      <c r="AE40" s="2" t="inlineStr">
        <is>
          <t>D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D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5">
        <f>COUNTIF(J40:AL40,"CORRECTO")</f>
        <v/>
      </c>
      <c r="AN40" s="5">
        <f>COUNTIF(J40:AL40,"INCORRECTO")</f>
        <v/>
      </c>
      <c r="AO40" s="5" t="n">
        <v>15</v>
      </c>
      <c r="AP40" s="6">
        <f>AM40/AO40</f>
        <v/>
      </c>
    </row>
    <row r="41">
      <c r="A41" s="2" t="inlineStr">
        <is>
          <t>TRATADO</t>
        </is>
      </c>
      <c r="B41" s="2" t="inlineStr">
        <is>
          <t>111001800635</t>
        </is>
      </c>
      <c r="C41" s="2" t="inlineStr">
        <is>
          <t>COLEGIO EL NOGAL (IED)</t>
        </is>
      </c>
      <c r="D41" s="2" t="inlineStr">
        <is>
          <t>JUAN JOSE MENDOZA HERNANDEZ</t>
        </is>
      </c>
      <c r="E41" s="2" t="inlineStr">
        <is>
          <t>1023411722</t>
        </is>
      </c>
      <c r="F41" s="2" t="n">
        <v>3</v>
      </c>
      <c r="G41" s="2" t="n">
        <v>301</v>
      </c>
      <c r="H41" s="2" t="inlineStr">
        <is>
          <t>MATEMÁTICAS</t>
        </is>
      </c>
      <c r="I41" s="2" t="inlineStr">
        <is>
          <t>D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C</t>
        </is>
      </c>
      <c r="V41" s="4" t="inlineStr">
        <is>
          <t>INCORRECTO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D</t>
        </is>
      </c>
      <c r="AD41" s="3" t="inlineStr">
        <is>
          <t>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5">
        <f>COUNTIF(J41:AL41,"CORRECTO")</f>
        <v/>
      </c>
      <c r="AN41" s="5">
        <f>COUNTIF(J41:AL41,"INCORRECTO")</f>
        <v/>
      </c>
      <c r="AO41" s="5" t="n">
        <v>15</v>
      </c>
      <c r="AP41" s="6">
        <f>AM41/AO41</f>
        <v/>
      </c>
    </row>
    <row r="42">
      <c r="A42" s="2" t="inlineStr">
        <is>
          <t>TRATADO</t>
        </is>
      </c>
      <c r="B42" s="2" t="inlineStr">
        <is>
          <t>111001800635</t>
        </is>
      </c>
      <c r="C42" s="2" t="inlineStr">
        <is>
          <t>COLEGIO EL NOGAL (IED)</t>
        </is>
      </c>
      <c r="D42" s="2" t="inlineStr">
        <is>
          <t>HARVI SAMUEL LOPEZ VILLAIZAN</t>
        </is>
      </c>
      <c r="E42" s="2" t="inlineStr">
        <is>
          <t>1012924320</t>
        </is>
      </c>
      <c r="F42" s="2" t="n">
        <v>3</v>
      </c>
      <c r="G42" s="2" t="n">
        <v>301</v>
      </c>
      <c r="H42" s="2" t="inlineStr">
        <is>
          <t>MATEMÁTICAS</t>
        </is>
      </c>
      <c r="I42" s="2" t="inlineStr">
        <is>
          <t>D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C</t>
        </is>
      </c>
      <c r="V42" s="4" t="inlineStr">
        <is>
          <t>INCORRECTO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D</t>
        </is>
      </c>
      <c r="AD42" s="3" t="inlineStr">
        <is>
          <t>CORRECTO</t>
        </is>
      </c>
      <c r="AE42" s="2" t="inlineStr">
        <is>
          <t>C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D</t>
        </is>
      </c>
      <c r="AJ42" s="3" t="inlineStr">
        <is>
          <t>CORRECTO</t>
        </is>
      </c>
      <c r="AK42" s="2" t="inlineStr">
        <is>
          <t>B</t>
        </is>
      </c>
      <c r="AL42" s="4" t="inlineStr">
        <is>
          <t>INCORRECTO</t>
        </is>
      </c>
      <c r="AM42" s="5">
        <f>COUNTIF(J42:AL42,"CORRECTO")</f>
        <v/>
      </c>
      <c r="AN42" s="5">
        <f>COUNTIF(J42:AL42,"INCORRECTO")</f>
        <v/>
      </c>
      <c r="AO42" s="5" t="n">
        <v>15</v>
      </c>
      <c r="AP42" s="6">
        <f>AM42/AO42</f>
        <v/>
      </c>
    </row>
    <row r="43">
      <c r="A43" s="2" t="inlineStr">
        <is>
          <t>TRATADO</t>
        </is>
      </c>
      <c r="B43" s="2" t="inlineStr">
        <is>
          <t>111001800635</t>
        </is>
      </c>
      <c r="C43" s="2" t="inlineStr">
        <is>
          <t>COLEGIO EL NOGAL (IED)</t>
        </is>
      </c>
      <c r="D43" s="2" t="inlineStr">
        <is>
          <t>MARTIN JOEL LANCHEROS CARVAJAL</t>
        </is>
      </c>
      <c r="E43" s="2" t="inlineStr">
        <is>
          <t>1024597538</t>
        </is>
      </c>
      <c r="F43" s="2" t="n">
        <v>3</v>
      </c>
      <c r="G43" s="2" t="n">
        <v>301</v>
      </c>
      <c r="H43" s="2" t="inlineStr">
        <is>
          <t>MATEMÁTICAS</t>
        </is>
      </c>
      <c r="I43" s="2" t="inlineStr">
        <is>
          <t>D</t>
        </is>
      </c>
      <c r="J43" s="3" t="inlineStr">
        <is>
          <t>CORRECTO</t>
        </is>
      </c>
      <c r="K43" s="2" t="inlineStr">
        <is>
          <t>C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C</t>
        </is>
      </c>
      <c r="V43" s="4" t="inlineStr">
        <is>
          <t>INCORRECTO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D</t>
        </is>
      </c>
      <c r="AD43" s="3" t="inlineStr">
        <is>
          <t>CORRECTO</t>
        </is>
      </c>
      <c r="AE43" s="2" t="inlineStr">
        <is>
          <t>C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D</t>
        </is>
      </c>
      <c r="AJ43" s="3" t="inlineStr">
        <is>
          <t>CORRECTO</t>
        </is>
      </c>
      <c r="AK43" s="2" t="inlineStr">
        <is>
          <t>A</t>
        </is>
      </c>
      <c r="AL43" s="3" t="inlineStr">
        <is>
          <t>CORRECTO</t>
        </is>
      </c>
      <c r="AM43" s="5">
        <f>COUNTIF(J43:AL43,"CORRECTO")</f>
        <v/>
      </c>
      <c r="AN43" s="5">
        <f>COUNTIF(J43:AL43,"INCORRECTO")</f>
        <v/>
      </c>
      <c r="AO43" s="5" t="n">
        <v>15</v>
      </c>
      <c r="AP43" s="6">
        <f>AM43/AO43</f>
        <v/>
      </c>
    </row>
    <row r="44">
      <c r="A44" s="2" t="inlineStr">
        <is>
          <t>TRATADO</t>
        </is>
      </c>
      <c r="B44" s="2" t="inlineStr">
        <is>
          <t>111001800635</t>
        </is>
      </c>
      <c r="C44" s="2" t="inlineStr">
        <is>
          <t>COLEGIO EL NOGAL (IED)</t>
        </is>
      </c>
      <c r="D44" s="2" t="inlineStr">
        <is>
          <t>JOHANN MATIAS HINESTROZA BUITRAGO</t>
        </is>
      </c>
      <c r="E44" s="2" t="inlineStr">
        <is>
          <t>1023412232</t>
        </is>
      </c>
      <c r="F44" s="2" t="n">
        <v>3</v>
      </c>
      <c r="G44" s="2" t="n">
        <v>301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D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D</t>
        </is>
      </c>
      <c r="AL44" s="4" t="inlineStr">
        <is>
          <t>INCORRECTO</t>
        </is>
      </c>
      <c r="AM44" s="5">
        <f>COUNTIF(J44:AL44,"CORRECTO")</f>
        <v/>
      </c>
      <c r="AN44" s="5">
        <f>COUNTIF(J44:AL44,"INCORRECTO")</f>
        <v/>
      </c>
      <c r="AO44" s="5" t="n">
        <v>15</v>
      </c>
      <c r="AP44" s="6">
        <f>AM44/AO44</f>
        <v/>
      </c>
    </row>
    <row r="45">
      <c r="A45" s="2" t="inlineStr">
        <is>
          <t>TRATADO</t>
        </is>
      </c>
      <c r="B45" s="2" t="inlineStr">
        <is>
          <t>111001800635</t>
        </is>
      </c>
      <c r="C45" s="2" t="inlineStr">
        <is>
          <t>COLEGIO EL NOGAL (IED)</t>
        </is>
      </c>
      <c r="D45" s="2" t="inlineStr">
        <is>
          <t>EVELIN NATALIA GONZALEZ VELASCO</t>
        </is>
      </c>
      <c r="E45" s="2" t="inlineStr">
        <is>
          <t>1029297020</t>
        </is>
      </c>
      <c r="F45" s="2" t="n">
        <v>3</v>
      </c>
      <c r="G45" s="2" t="n">
        <v>301</v>
      </c>
      <c r="H45" s="2" t="inlineStr">
        <is>
          <t>LENGUAJE</t>
        </is>
      </c>
      <c r="I45" s="2" t="inlineStr">
        <is>
          <t>A</t>
        </is>
      </c>
      <c r="J45" s="4" t="inlineStr">
        <is>
          <t>INCORRECTO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D</t>
        </is>
      </c>
      <c r="R45" s="4" t="inlineStr">
        <is>
          <t>INCORRECTO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A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B</t>
        </is>
      </c>
      <c r="AL45" s="4" t="inlineStr">
        <is>
          <t>INCORRECTO</t>
        </is>
      </c>
      <c r="AM45" s="5">
        <f>COUNTIF(J45:AL45,"CORRECTO")</f>
        <v/>
      </c>
      <c r="AN45" s="5">
        <f>COUNTIF(J45:AL45,"INCORRECTO")</f>
        <v/>
      </c>
      <c r="AO45" s="5" t="n">
        <v>15</v>
      </c>
      <c r="AP45" s="6">
        <f>AM45/AO45</f>
        <v/>
      </c>
    </row>
    <row r="46">
      <c r="A46" s="2" t="inlineStr">
        <is>
          <t>TRATADO</t>
        </is>
      </c>
      <c r="B46" s="2" t="inlineStr">
        <is>
          <t>111001800635</t>
        </is>
      </c>
      <c r="C46" s="2" t="inlineStr">
        <is>
          <t>COLEGIO EL NOGAL (IED)</t>
        </is>
      </c>
      <c r="D46" s="2" t="inlineStr">
        <is>
          <t>SARA SOFIA ORTIZ RITACUBA</t>
        </is>
      </c>
      <c r="E46" s="2" t="inlineStr">
        <is>
          <t>1222217382</t>
        </is>
      </c>
      <c r="F46" s="2" t="n">
        <v>3</v>
      </c>
      <c r="G46" s="2" t="n">
        <v>301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C</t>
        </is>
      </c>
      <c r="T46" s="4" t="inlineStr">
        <is>
          <t>INCORRECTO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B</t>
        </is>
      </c>
      <c r="AB46" s="4" t="inlineStr">
        <is>
          <t>INCORRECTO</t>
        </is>
      </c>
      <c r="AC46" s="2" t="inlineStr">
        <is>
          <t>D</t>
        </is>
      </c>
      <c r="AD46" s="4" t="inlineStr">
        <is>
          <t>INCORRECTO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A</t>
        </is>
      </c>
      <c r="AH46" s="3" t="inlineStr">
        <is>
          <t>CORRECTO</t>
        </is>
      </c>
      <c r="AI46" s="2" t="inlineStr">
        <is>
          <t>C</t>
        </is>
      </c>
      <c r="AJ46" s="4" t="inlineStr">
        <is>
          <t>INCORRECTO</t>
        </is>
      </c>
      <c r="AK46" s="2" t="inlineStr">
        <is>
          <t>C</t>
        </is>
      </c>
      <c r="AL46" s="4" t="inlineStr">
        <is>
          <t>INCORRECTO</t>
        </is>
      </c>
      <c r="AM46" s="5">
        <f>COUNTIF(J46:AL46,"CORRECTO")</f>
        <v/>
      </c>
      <c r="AN46" s="5">
        <f>COUNTIF(J46:AL46,"INCORRECTO")</f>
        <v/>
      </c>
      <c r="AO46" s="5" t="n">
        <v>15</v>
      </c>
      <c r="AP46" s="6">
        <f>AM46/AO46</f>
        <v/>
      </c>
    </row>
    <row r="47">
      <c r="A47" s="2" t="inlineStr">
        <is>
          <t>TRATADO</t>
        </is>
      </c>
      <c r="B47" s="2" t="inlineStr">
        <is>
          <t>111001800635</t>
        </is>
      </c>
      <c r="C47" s="2" t="inlineStr">
        <is>
          <t>COLEGIO EL NOGAL (IED)</t>
        </is>
      </c>
      <c r="D47" s="2" t="inlineStr">
        <is>
          <t>MATHIAS QUINTERO NOSSA</t>
        </is>
      </c>
      <c r="E47" s="2" t="inlineStr">
        <is>
          <t>1011250724</t>
        </is>
      </c>
      <c r="F47" s="2" t="n">
        <v>3</v>
      </c>
      <c r="G47" s="2" t="n">
        <v>301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A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5">
        <f>COUNTIF(J47:AL47,"CORRECTO")</f>
        <v/>
      </c>
      <c r="AN47" s="5">
        <f>COUNTIF(J47:AL47,"INCORRECTO")</f>
        <v/>
      </c>
      <c r="AO47" s="5" t="n">
        <v>15</v>
      </c>
      <c r="AP47" s="6">
        <f>AM47/AO47</f>
        <v/>
      </c>
    </row>
    <row r="48">
      <c r="A48" s="2" t="inlineStr">
        <is>
          <t>TRATADO</t>
        </is>
      </c>
      <c r="B48" s="2" t="inlineStr">
        <is>
          <t>111001800635</t>
        </is>
      </c>
      <c r="C48" s="2" t="inlineStr">
        <is>
          <t>COLEGIO EL NOGAL (IED)</t>
        </is>
      </c>
      <c r="D48" s="2" t="inlineStr">
        <is>
          <t>LINDA SALOME RODRIGUEZ CUBILLOS</t>
        </is>
      </c>
      <c r="E48" s="2" t="inlineStr">
        <is>
          <t>1013689158</t>
        </is>
      </c>
      <c r="F48" s="2" t="n">
        <v>3</v>
      </c>
      <c r="G48" s="2" t="n">
        <v>301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A</t>
        </is>
      </c>
      <c r="AH48" s="3" t="inlineStr">
        <is>
          <t>CORRECTO</t>
        </is>
      </c>
      <c r="AI48" s="2" t="inlineStr">
        <is>
          <t>C</t>
        </is>
      </c>
      <c r="AJ48" s="4" t="inlineStr">
        <is>
          <t>INCORRECTO</t>
        </is>
      </c>
      <c r="AK48" s="2" t="inlineStr">
        <is>
          <t>A</t>
        </is>
      </c>
      <c r="AL48" s="3" t="inlineStr">
        <is>
          <t>CORRECTO</t>
        </is>
      </c>
      <c r="AM48" s="5">
        <f>COUNTIF(J48:AL48,"CORRECTO")</f>
        <v/>
      </c>
      <c r="AN48" s="5">
        <f>COUNTIF(J48:AL48,"INCORRECTO")</f>
        <v/>
      </c>
      <c r="AO48" s="5" t="n">
        <v>15</v>
      </c>
      <c r="AP48" s="6">
        <f>AM48/AO48</f>
        <v/>
      </c>
    </row>
    <row r="49">
      <c r="A49" s="2" t="inlineStr">
        <is>
          <t>TRATADO</t>
        </is>
      </c>
      <c r="B49" s="2" t="inlineStr">
        <is>
          <t>111001800635</t>
        </is>
      </c>
      <c r="C49" s="2" t="inlineStr">
        <is>
          <t>COLEGIO EL NOGAL (IED)</t>
        </is>
      </c>
      <c r="D49" s="2" t="inlineStr">
        <is>
          <t>DILAN SAMUEL RAMOS CASTRO</t>
        </is>
      </c>
      <c r="E49" s="2" t="inlineStr">
        <is>
          <t>1010247162</t>
        </is>
      </c>
      <c r="F49" s="2" t="n">
        <v>3</v>
      </c>
      <c r="G49" s="2" t="n">
        <v>301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D</t>
        </is>
      </c>
      <c r="P49" s="4" t="inlineStr">
        <is>
          <t>INCORRECTO</t>
        </is>
      </c>
      <c r="Q49" s="2" t="inlineStr"/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B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A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C</t>
        </is>
      </c>
      <c r="AL49" s="4" t="inlineStr">
        <is>
          <t>INCORRECTO</t>
        </is>
      </c>
      <c r="AM49" s="5">
        <f>COUNTIF(J49:AL49,"CORRECTO")</f>
        <v/>
      </c>
      <c r="AN49" s="5">
        <f>COUNTIF(J49:AL49,"INCORRECTO")</f>
        <v/>
      </c>
      <c r="AO49" s="5" t="n">
        <v>15</v>
      </c>
      <c r="AP49" s="6">
        <f>AM49/AO49</f>
        <v/>
      </c>
    </row>
    <row r="50">
      <c r="A50" s="2" t="inlineStr">
        <is>
          <t>TRATADO</t>
        </is>
      </c>
      <c r="B50" s="2" t="inlineStr">
        <is>
          <t>111001800635</t>
        </is>
      </c>
      <c r="C50" s="2" t="inlineStr">
        <is>
          <t>COLEGIO EL NOGAL (IED)</t>
        </is>
      </c>
      <c r="D50" s="2" t="inlineStr">
        <is>
          <t>MARTIN FELIPE ALEGRIA VILLANUEVA</t>
        </is>
      </c>
      <c r="E50" s="2" t="inlineStr">
        <is>
          <t>1024601143</t>
        </is>
      </c>
      <c r="F50" s="2" t="n">
        <v>3</v>
      </c>
      <c r="G50" s="2" t="n">
        <v>301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C</t>
        </is>
      </c>
      <c r="T50" s="4" t="inlineStr">
        <is>
          <t>INCORRECTO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D</t>
        </is>
      </c>
      <c r="AD50" s="4" t="inlineStr">
        <is>
          <t>INCORRECTO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A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D</t>
        </is>
      </c>
      <c r="AL50" s="4" t="inlineStr">
        <is>
          <t>INCORRECTO</t>
        </is>
      </c>
      <c r="AM50" s="5">
        <f>COUNTIF(J50:AL50,"CORRECTO")</f>
        <v/>
      </c>
      <c r="AN50" s="5">
        <f>COUNTIF(J50:AL50,"INCORRECTO")</f>
        <v/>
      </c>
      <c r="AO50" s="5" t="n">
        <v>15</v>
      </c>
      <c r="AP50" s="6">
        <f>AM50/AO50</f>
        <v/>
      </c>
    </row>
    <row r="51">
      <c r="A51" s="2" t="inlineStr">
        <is>
          <t>TRATADO</t>
        </is>
      </c>
      <c r="B51" s="2" t="inlineStr">
        <is>
          <t>111001800635</t>
        </is>
      </c>
      <c r="C51" s="2" t="inlineStr">
        <is>
          <t>COLEGIO EL NOGAL (IED)</t>
        </is>
      </c>
      <c r="D51" s="2" t="inlineStr">
        <is>
          <t>CHARI SALOME HERREÑO QUITIAN</t>
        </is>
      </c>
      <c r="E51" s="2" t="inlineStr">
        <is>
          <t>1025562161</t>
        </is>
      </c>
      <c r="F51" s="2" t="n">
        <v>3</v>
      </c>
      <c r="G51" s="2" t="n">
        <v>301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C</t>
        </is>
      </c>
      <c r="T51" s="4" t="inlineStr">
        <is>
          <t>INCORRECTO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A</t>
        </is>
      </c>
      <c r="AH51" s="3" t="inlineStr">
        <is>
          <t>CORRECTO</t>
        </is>
      </c>
      <c r="AI51" s="2" t="inlineStr"/>
      <c r="AJ51" s="4" t="inlineStr">
        <is>
          <t>INCORRECTO</t>
        </is>
      </c>
      <c r="AK51" s="2" t="inlineStr">
        <is>
          <t>A</t>
        </is>
      </c>
      <c r="AL51" s="3" t="inlineStr">
        <is>
          <t>CORRECTO</t>
        </is>
      </c>
      <c r="AM51" s="5">
        <f>COUNTIF(J51:AL51,"CORRECTO")</f>
        <v/>
      </c>
      <c r="AN51" s="5">
        <f>COUNTIF(J51:AL51,"INCORRECTO")</f>
        <v/>
      </c>
      <c r="AO51" s="5" t="n">
        <v>15</v>
      </c>
      <c r="AP51" s="6">
        <f>AM51/AO51</f>
        <v/>
      </c>
    </row>
    <row r="52">
      <c r="A52" s="2" t="inlineStr">
        <is>
          <t>TRATADO</t>
        </is>
      </c>
      <c r="B52" s="2" t="inlineStr">
        <is>
          <t>111001800635</t>
        </is>
      </c>
      <c r="C52" s="2" t="inlineStr">
        <is>
          <t>COLEGIO EL NOGAL (IED)</t>
        </is>
      </c>
      <c r="D52" s="2" t="inlineStr">
        <is>
          <t>JHOAN STEVAN SOTELO CONTRERAS</t>
        </is>
      </c>
      <c r="E52" s="2" t="inlineStr">
        <is>
          <t>1024596859</t>
        </is>
      </c>
      <c r="F52" s="2" t="n">
        <v>3</v>
      </c>
      <c r="G52" s="2" t="n">
        <v>301</v>
      </c>
      <c r="H52" s="2" t="inlineStr">
        <is>
          <t>LENGUAJE</t>
        </is>
      </c>
      <c r="I52" s="2" t="inlineStr">
        <is>
          <t>A</t>
        </is>
      </c>
      <c r="J52" s="4" t="inlineStr">
        <is>
          <t>INCORRECTO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C</t>
        </is>
      </c>
      <c r="AH52" s="4" t="inlineStr">
        <is>
          <t>INCORRECTO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D</t>
        </is>
      </c>
      <c r="AL52" s="4" t="inlineStr">
        <is>
          <t>INCORRECTO</t>
        </is>
      </c>
      <c r="AM52" s="5">
        <f>COUNTIF(J52:AL52,"CORRECTO")</f>
        <v/>
      </c>
      <c r="AN52" s="5">
        <f>COUNTIF(J52:AL52,"INCORRECTO")</f>
        <v/>
      </c>
      <c r="AO52" s="5" t="n">
        <v>15</v>
      </c>
      <c r="AP52" s="6">
        <f>AM52/AO52</f>
        <v/>
      </c>
    </row>
    <row r="53">
      <c r="A53" s="2" t="inlineStr">
        <is>
          <t>TRATADO</t>
        </is>
      </c>
      <c r="B53" s="2" t="inlineStr">
        <is>
          <t>111001800635</t>
        </is>
      </c>
      <c r="C53" s="2" t="inlineStr">
        <is>
          <t>COLEGIO EL NOGAL (IED)</t>
        </is>
      </c>
      <c r="D53" s="2" t="inlineStr">
        <is>
          <t>MARIANA SALOME MOLINA CORTES</t>
        </is>
      </c>
      <c r="E53" s="2" t="inlineStr">
        <is>
          <t>1032509066</t>
        </is>
      </c>
      <c r="F53" s="2" t="n">
        <v>3</v>
      </c>
      <c r="G53" s="2" t="n">
        <v>301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A</t>
        </is>
      </c>
      <c r="AH53" s="3" t="inlineStr">
        <is>
          <t>CORRECTO</t>
        </is>
      </c>
      <c r="AI53" s="2" t="inlineStr">
        <is>
          <t>A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5">
        <f>COUNTIF(J53:AL53,"CORRECTO")</f>
        <v/>
      </c>
      <c r="AN53" s="5">
        <f>COUNTIF(J53:AL53,"INCORRECTO")</f>
        <v/>
      </c>
      <c r="AO53" s="5" t="n">
        <v>15</v>
      </c>
      <c r="AP53" s="6">
        <f>AM53/AO53</f>
        <v/>
      </c>
    </row>
    <row r="54">
      <c r="A54" s="2" t="inlineStr">
        <is>
          <t>TRATADO</t>
        </is>
      </c>
      <c r="B54" s="2" t="inlineStr">
        <is>
          <t>111001800635</t>
        </is>
      </c>
      <c r="C54" s="2" t="inlineStr">
        <is>
          <t>COLEGIO EL NOGAL (IED)</t>
        </is>
      </c>
      <c r="D54" s="2" t="inlineStr">
        <is>
          <t>MEIKEL SMAICK DELGADO ESPITIA</t>
        </is>
      </c>
      <c r="E54" s="2" t="inlineStr">
        <is>
          <t>1033820222</t>
        </is>
      </c>
      <c r="F54" s="2" t="n">
        <v>3</v>
      </c>
      <c r="G54" s="2" t="n">
        <v>301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A</t>
        </is>
      </c>
      <c r="P54" s="4" t="inlineStr">
        <is>
          <t>INCORRECTO</t>
        </is>
      </c>
      <c r="Q54" s="2" t="inlineStr">
        <is>
          <t>B</t>
        </is>
      </c>
      <c r="R54" s="4" t="inlineStr">
        <is>
          <t>INCORRECTO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B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A</t>
        </is>
      </c>
      <c r="AH54" s="3" t="inlineStr">
        <is>
          <t>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D</t>
        </is>
      </c>
      <c r="AL54" s="4" t="inlineStr">
        <is>
          <t>INCORRECTO</t>
        </is>
      </c>
      <c r="AM54" s="5">
        <f>COUNTIF(J54:AL54,"CORRECTO")</f>
        <v/>
      </c>
      <c r="AN54" s="5">
        <f>COUNTIF(J54:AL54,"INCORRECTO")</f>
        <v/>
      </c>
      <c r="AO54" s="5" t="n">
        <v>15</v>
      </c>
      <c r="AP54" s="6">
        <f>AM54/AO54</f>
        <v/>
      </c>
    </row>
    <row r="55">
      <c r="A55" s="2" t="inlineStr">
        <is>
          <t>TRATADO</t>
        </is>
      </c>
      <c r="B55" s="2" t="inlineStr">
        <is>
          <t>111001800635</t>
        </is>
      </c>
      <c r="C55" s="2" t="inlineStr">
        <is>
          <t>COLEGIO EL NOGAL (IED)</t>
        </is>
      </c>
      <c r="D55" s="2" t="inlineStr">
        <is>
          <t>DANNA SOFIA SANDOVAL BELTRAN</t>
        </is>
      </c>
      <c r="E55" s="2" t="inlineStr">
        <is>
          <t>1013691570</t>
        </is>
      </c>
      <c r="F55" s="2" t="n">
        <v>3</v>
      </c>
      <c r="G55" s="2" t="n">
        <v>301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A</t>
        </is>
      </c>
      <c r="AF55" s="4" t="inlineStr">
        <is>
          <t>INCORRECTO</t>
        </is>
      </c>
      <c r="AG55" s="2" t="inlineStr">
        <is>
          <t>C</t>
        </is>
      </c>
      <c r="AH55" s="4" t="inlineStr">
        <is>
          <t>INCORRECTO</t>
        </is>
      </c>
      <c r="AI55" s="2" t="inlineStr"/>
      <c r="AJ55" s="4" t="inlineStr">
        <is>
          <t>INCORRECTO</t>
        </is>
      </c>
      <c r="AK55" s="2" t="inlineStr">
        <is>
          <t>D</t>
        </is>
      </c>
      <c r="AL55" s="4" t="inlineStr">
        <is>
          <t>INCORRECTO</t>
        </is>
      </c>
      <c r="AM55" s="5">
        <f>COUNTIF(J55:AL55,"CORRECTO")</f>
        <v/>
      </c>
      <c r="AN55" s="5">
        <f>COUNTIF(J55:AL55,"INCORRECTO")</f>
        <v/>
      </c>
      <c r="AO55" s="5" t="n">
        <v>15</v>
      </c>
      <c r="AP55" s="6">
        <f>AM55/AO55</f>
        <v/>
      </c>
    </row>
    <row r="56">
      <c r="A56" s="2" t="inlineStr">
        <is>
          <t>TRATADO</t>
        </is>
      </c>
      <c r="B56" s="2" t="inlineStr">
        <is>
          <t>111001800635</t>
        </is>
      </c>
      <c r="C56" s="2" t="inlineStr">
        <is>
          <t>COLEGIO EL NOGAL (IED)</t>
        </is>
      </c>
      <c r="D56" s="2" t="inlineStr">
        <is>
          <t>SAMUEL ADOLFO NISPERUZA BELTRAN</t>
        </is>
      </c>
      <c r="E56" s="2" t="inlineStr">
        <is>
          <t>1141137071</t>
        </is>
      </c>
      <c r="F56" s="2" t="n">
        <v>3</v>
      </c>
      <c r="G56" s="2" t="n">
        <v>301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C</t>
        </is>
      </c>
      <c r="T56" s="4" t="inlineStr">
        <is>
          <t>INCORRECTO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D</t>
        </is>
      </c>
      <c r="AD56" s="4" t="inlineStr">
        <is>
          <t>INCORRECTO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A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5">
        <f>COUNTIF(J56:AL56,"CORRECTO")</f>
        <v/>
      </c>
      <c r="AN56" s="5">
        <f>COUNTIF(J56:AL56,"INCORRECTO")</f>
        <v/>
      </c>
      <c r="AO56" s="5" t="n">
        <v>15</v>
      </c>
      <c r="AP56" s="6">
        <f>AM56/AO56</f>
        <v/>
      </c>
    </row>
    <row r="57">
      <c r="A57" s="2" t="inlineStr">
        <is>
          <t>TRATADO</t>
        </is>
      </c>
      <c r="B57" s="2" t="inlineStr">
        <is>
          <t>111001800635</t>
        </is>
      </c>
      <c r="C57" s="2" t="inlineStr">
        <is>
          <t>COLEGIO EL NOGAL (IED)</t>
        </is>
      </c>
      <c r="D57" s="2" t="inlineStr">
        <is>
          <t>JUAN PABLO LINERO GONZALEZ</t>
        </is>
      </c>
      <c r="E57" s="2" t="inlineStr">
        <is>
          <t>1024603369</t>
        </is>
      </c>
      <c r="F57" s="2" t="n">
        <v>3</v>
      </c>
      <c r="G57" s="2" t="n">
        <v>301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B</t>
        </is>
      </c>
      <c r="AD57" s="4" t="inlineStr">
        <is>
          <t>INCORRECTO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A</t>
        </is>
      </c>
      <c r="AL57" s="3" t="inlineStr">
        <is>
          <t>CORRECTO</t>
        </is>
      </c>
      <c r="AM57" s="5">
        <f>COUNTIF(J57:AL57,"CORRECTO")</f>
        <v/>
      </c>
      <c r="AN57" s="5">
        <f>COUNTIF(J57:AL57,"INCORRECTO")</f>
        <v/>
      </c>
      <c r="AO57" s="5" t="n">
        <v>15</v>
      </c>
      <c r="AP57" s="6">
        <f>AM57/AO57</f>
        <v/>
      </c>
    </row>
    <row r="58">
      <c r="A58" s="2" t="inlineStr">
        <is>
          <t>TRATADO</t>
        </is>
      </c>
      <c r="B58" s="2" t="inlineStr">
        <is>
          <t>111001800635</t>
        </is>
      </c>
      <c r="C58" s="2" t="inlineStr">
        <is>
          <t>COLEGIO EL NOGAL (IED)</t>
        </is>
      </c>
      <c r="D58" s="2" t="inlineStr">
        <is>
          <t>SHAIRA ISABELL GRAJALES ROA</t>
        </is>
      </c>
      <c r="E58" s="2" t="inlineStr">
        <is>
          <t>1024597675</t>
        </is>
      </c>
      <c r="F58" s="2" t="n">
        <v>3</v>
      </c>
      <c r="G58" s="2" t="n">
        <v>301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A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B</t>
        </is>
      </c>
      <c r="AL58" s="4" t="inlineStr">
        <is>
          <t>INCORRECTO</t>
        </is>
      </c>
      <c r="AM58" s="5">
        <f>COUNTIF(J58:AL58,"CORRECTO")</f>
        <v/>
      </c>
      <c r="AN58" s="5">
        <f>COUNTIF(J58:AL58,"INCORRECTO")</f>
        <v/>
      </c>
      <c r="AO58" s="5" t="n">
        <v>15</v>
      </c>
      <c r="AP58" s="6">
        <f>AM58/AO58</f>
        <v/>
      </c>
    </row>
    <row r="59">
      <c r="A59" s="2" t="inlineStr">
        <is>
          <t>TRATADO</t>
        </is>
      </c>
      <c r="B59" s="2" t="inlineStr">
        <is>
          <t>111001800635</t>
        </is>
      </c>
      <c r="C59" s="2" t="inlineStr">
        <is>
          <t>COLEGIO EL NOGAL (IED)</t>
        </is>
      </c>
      <c r="D59" s="2" t="inlineStr">
        <is>
          <t>SAMUEL SANTIAGO HERNANDEZ COBOS</t>
        </is>
      </c>
      <c r="E59" s="2" t="inlineStr">
        <is>
          <t>1024598498</t>
        </is>
      </c>
      <c r="F59" s="2" t="n">
        <v>3</v>
      </c>
      <c r="G59" s="2" t="n">
        <v>301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C</t>
        </is>
      </c>
      <c r="T59" s="4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A</t>
        </is>
      </c>
      <c r="AH59" s="3" t="inlineStr">
        <is>
          <t>CORRECTO</t>
        </is>
      </c>
      <c r="AI59" s="2" t="inlineStr"/>
      <c r="AJ59" s="4" t="inlineStr">
        <is>
          <t>INCORRECTO</t>
        </is>
      </c>
      <c r="AK59" s="2" t="inlineStr">
        <is>
          <t>A</t>
        </is>
      </c>
      <c r="AL59" s="3" t="inlineStr">
        <is>
          <t>CORRECTO</t>
        </is>
      </c>
      <c r="AM59" s="5">
        <f>COUNTIF(J59:AL59,"CORRECTO")</f>
        <v/>
      </c>
      <c r="AN59" s="5">
        <f>COUNTIF(J59:AL59,"INCORRECTO")</f>
        <v/>
      </c>
      <c r="AO59" s="5" t="n">
        <v>15</v>
      </c>
      <c r="AP59" s="6">
        <f>AM59/AO59</f>
        <v/>
      </c>
    </row>
    <row r="60">
      <c r="A60" s="2" t="inlineStr">
        <is>
          <t>TRATADO</t>
        </is>
      </c>
      <c r="B60" s="2" t="inlineStr">
        <is>
          <t>111001800635</t>
        </is>
      </c>
      <c r="C60" s="2" t="inlineStr">
        <is>
          <t>COLEGIO EL NOGAL (IED)</t>
        </is>
      </c>
      <c r="D60" s="2" t="inlineStr">
        <is>
          <t>EILEN SAMARA GALVEZ RIZACUBA</t>
        </is>
      </c>
      <c r="E60" s="2" t="inlineStr">
        <is>
          <t>1206222637</t>
        </is>
      </c>
      <c r="F60" s="2" t="n">
        <v>3</v>
      </c>
      <c r="G60" s="2" t="n">
        <v>301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B</t>
        </is>
      </c>
      <c r="AB60" s="4" t="inlineStr">
        <is>
          <t>INCORRECTO</t>
        </is>
      </c>
      <c r="AC60" s="2" t="inlineStr">
        <is>
          <t>A</t>
        </is>
      </c>
      <c r="AD60" s="4" t="inlineStr">
        <is>
          <t>INCORRECTO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D</t>
        </is>
      </c>
      <c r="AH60" s="4" t="inlineStr">
        <is>
          <t>INCORRECTO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5">
        <f>COUNTIF(J60:AL60,"CORRECTO")</f>
        <v/>
      </c>
      <c r="AN60" s="5">
        <f>COUNTIF(J60:AL60,"INCORRECTO")</f>
        <v/>
      </c>
      <c r="AO60" s="5" t="n">
        <v>15</v>
      </c>
      <c r="AP60" s="6">
        <f>AM60/AO60</f>
        <v/>
      </c>
    </row>
    <row r="61">
      <c r="A61" s="2" t="inlineStr">
        <is>
          <t>TRATADO</t>
        </is>
      </c>
      <c r="B61" s="2" t="inlineStr">
        <is>
          <t>111001800635</t>
        </is>
      </c>
      <c r="C61" s="2" t="inlineStr">
        <is>
          <t>COLEGIO EL NOGAL (IED)</t>
        </is>
      </c>
      <c r="D61" s="2" t="inlineStr">
        <is>
          <t>CRISTOPHER MARTIN RODRIGUEZ CALDERON</t>
        </is>
      </c>
      <c r="E61" s="2" t="inlineStr">
        <is>
          <t>1030702251</t>
        </is>
      </c>
      <c r="F61" s="2" t="n">
        <v>3</v>
      </c>
      <c r="G61" s="2" t="n">
        <v>301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D</t>
        </is>
      </c>
      <c r="L61" s="4" t="inlineStr">
        <is>
          <t>INCORRECTO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D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D</t>
        </is>
      </c>
      <c r="AH61" s="4" t="inlineStr">
        <is>
          <t>INCORRECTO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A</t>
        </is>
      </c>
      <c r="AL61" s="3" t="inlineStr">
        <is>
          <t>CORRECTO</t>
        </is>
      </c>
      <c r="AM61" s="5">
        <f>COUNTIF(J61:AL61,"CORRECTO")</f>
        <v/>
      </c>
      <c r="AN61" s="5">
        <f>COUNTIF(J61:AL61,"INCORRECTO")</f>
        <v/>
      </c>
      <c r="AO61" s="5" t="n">
        <v>15</v>
      </c>
      <c r="AP61" s="6">
        <f>AM61/AO61</f>
        <v/>
      </c>
    </row>
    <row r="62">
      <c r="A62" s="2" t="inlineStr">
        <is>
          <t>TRATADO</t>
        </is>
      </c>
      <c r="B62" s="2" t="inlineStr">
        <is>
          <t>111001800635</t>
        </is>
      </c>
      <c r="C62" s="2" t="inlineStr">
        <is>
          <t>COLEGIO EL NOGAL (IED)</t>
        </is>
      </c>
      <c r="D62" s="2" t="inlineStr">
        <is>
          <t>SARA ALEJANDRA MENDOZA BARRERA</t>
        </is>
      </c>
      <c r="E62" s="2" t="inlineStr">
        <is>
          <t>1024600074</t>
        </is>
      </c>
      <c r="F62" s="2" t="n">
        <v>3</v>
      </c>
      <c r="G62" s="2" t="n">
        <v>301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D</t>
        </is>
      </c>
      <c r="L62" s="4" t="inlineStr">
        <is>
          <t>INCORRECTO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D</t>
        </is>
      </c>
      <c r="AF62" s="4" t="inlineStr">
        <is>
          <t>INCORRECTO</t>
        </is>
      </c>
      <c r="AG62" s="2" t="inlineStr">
        <is>
          <t>C</t>
        </is>
      </c>
      <c r="AH62" s="4" t="inlineStr">
        <is>
          <t>INCORRECTO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D</t>
        </is>
      </c>
      <c r="AL62" s="4" t="inlineStr">
        <is>
          <t>INCORRECTO</t>
        </is>
      </c>
      <c r="AM62" s="5">
        <f>COUNTIF(J62:AL62,"CORRECTO")</f>
        <v/>
      </c>
      <c r="AN62" s="5">
        <f>COUNTIF(J62:AL62,"INCORRECTO")</f>
        <v/>
      </c>
      <c r="AO62" s="5" t="n">
        <v>15</v>
      </c>
      <c r="AP62" s="6">
        <f>AM62/AO62</f>
        <v/>
      </c>
    </row>
    <row r="63">
      <c r="A63" s="2" t="inlineStr">
        <is>
          <t>TRATADO</t>
        </is>
      </c>
      <c r="B63" s="2" t="inlineStr">
        <is>
          <t>111001800635</t>
        </is>
      </c>
      <c r="C63" s="2" t="inlineStr">
        <is>
          <t>COLEGIO EL NOGAL (IED)</t>
        </is>
      </c>
      <c r="D63" s="2" t="inlineStr">
        <is>
          <t>IAN MIGUEL SANCHEZ LOPEZ</t>
        </is>
      </c>
      <c r="E63" s="2" t="inlineStr">
        <is>
          <t>1023412551</t>
        </is>
      </c>
      <c r="F63" s="2" t="n">
        <v>3</v>
      </c>
      <c r="G63" s="2" t="n">
        <v>301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D</t>
        </is>
      </c>
      <c r="L63" s="4" t="inlineStr">
        <is>
          <t>INCORRECTO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A</t>
        </is>
      </c>
      <c r="R63" s="4" t="inlineStr">
        <is>
          <t>INCORRECTO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B</t>
        </is>
      </c>
      <c r="AH63" s="4" t="inlineStr">
        <is>
          <t>INCORRECTO</t>
        </is>
      </c>
      <c r="AI63" s="2" t="inlineStr"/>
      <c r="AJ63" s="4" t="inlineStr">
        <is>
          <t>INCORRECTO</t>
        </is>
      </c>
      <c r="AK63" s="2" t="inlineStr">
        <is>
          <t>A</t>
        </is>
      </c>
      <c r="AL63" s="3" t="inlineStr">
        <is>
          <t>CORRECTO</t>
        </is>
      </c>
      <c r="AM63" s="5">
        <f>COUNTIF(J63:AL63,"CORRECTO")</f>
        <v/>
      </c>
      <c r="AN63" s="5">
        <f>COUNTIF(J63:AL63,"INCORRECTO")</f>
        <v/>
      </c>
      <c r="AO63" s="5" t="n">
        <v>15</v>
      </c>
      <c r="AP63" s="6">
        <f>AM63/AO63</f>
        <v/>
      </c>
    </row>
    <row r="64">
      <c r="A64" s="2" t="inlineStr">
        <is>
          <t>TRATADO</t>
        </is>
      </c>
      <c r="B64" s="2" t="inlineStr">
        <is>
          <t>111001800635</t>
        </is>
      </c>
      <c r="C64" s="2" t="inlineStr">
        <is>
          <t>COLEGIO EL NOGAL (IED)</t>
        </is>
      </c>
      <c r="D64" s="2" t="inlineStr">
        <is>
          <t>JOEL DANIEL NOVA LANCHEROS</t>
        </is>
      </c>
      <c r="E64" s="2" t="inlineStr">
        <is>
          <t>1023412172</t>
        </is>
      </c>
      <c r="F64" s="2" t="n">
        <v>3</v>
      </c>
      <c r="G64" s="2" t="n">
        <v>301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A</t>
        </is>
      </c>
      <c r="V64" s="4" t="inlineStr">
        <is>
          <t>INCORRECTO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D</t>
        </is>
      </c>
      <c r="AD64" s="4" t="inlineStr">
        <is>
          <t>INCORRECTO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D</t>
        </is>
      </c>
      <c r="AH64" s="4" t="inlineStr">
        <is>
          <t>INCORRECTO</t>
        </is>
      </c>
      <c r="AI64" s="2" t="inlineStr">
        <is>
          <t>C</t>
        </is>
      </c>
      <c r="AJ64" s="4" t="inlineStr">
        <is>
          <t>INCORRECTO</t>
        </is>
      </c>
      <c r="AK64" s="2" t="inlineStr">
        <is>
          <t>A</t>
        </is>
      </c>
      <c r="AL64" s="3" t="inlineStr">
        <is>
          <t>CORRECTO</t>
        </is>
      </c>
      <c r="AM64" s="5">
        <f>COUNTIF(J64:AL64,"CORRECTO")</f>
        <v/>
      </c>
      <c r="AN64" s="5">
        <f>COUNTIF(J64:AL64,"INCORRECTO")</f>
        <v/>
      </c>
      <c r="AO64" s="5" t="n">
        <v>15</v>
      </c>
      <c r="AP64" s="6">
        <f>AM64/AO64</f>
        <v/>
      </c>
    </row>
    <row r="65">
      <c r="A65" s="2" t="inlineStr">
        <is>
          <t>TRATADO</t>
        </is>
      </c>
      <c r="B65" s="2" t="inlineStr">
        <is>
          <t>111001800635</t>
        </is>
      </c>
      <c r="C65" s="2" t="inlineStr">
        <is>
          <t>COLEGIO EL NOGAL (IED)</t>
        </is>
      </c>
      <c r="D65" s="2" t="inlineStr">
        <is>
          <t>MARIA PAULA TEJADA URIBE</t>
        </is>
      </c>
      <c r="E65" s="2" t="inlineStr">
        <is>
          <t>1028672837</t>
        </is>
      </c>
      <c r="F65" s="2" t="n">
        <v>3</v>
      </c>
      <c r="G65" s="2" t="n">
        <v>301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D</t>
        </is>
      </c>
      <c r="AF65" s="4" t="inlineStr">
        <is>
          <t>INCORRECTO</t>
        </is>
      </c>
      <c r="AG65" s="2" t="inlineStr">
        <is>
          <t>D</t>
        </is>
      </c>
      <c r="AH65" s="4" t="inlineStr">
        <is>
          <t>INCORRECTO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D</t>
        </is>
      </c>
      <c r="AL65" s="4" t="inlineStr">
        <is>
          <t>INCORRECTO</t>
        </is>
      </c>
      <c r="AM65" s="5">
        <f>COUNTIF(J65:AL65,"CORRECTO")</f>
        <v/>
      </c>
      <c r="AN65" s="5">
        <f>COUNTIF(J65:AL65,"INCORRECTO")</f>
        <v/>
      </c>
      <c r="AO65" s="5" t="n">
        <v>15</v>
      </c>
      <c r="AP65" s="6">
        <f>AM65/AO65</f>
        <v/>
      </c>
    </row>
    <row r="66">
      <c r="A66" s="2" t="inlineStr">
        <is>
          <t>TRATADO</t>
        </is>
      </c>
      <c r="B66" s="2" t="inlineStr">
        <is>
          <t>111001800635</t>
        </is>
      </c>
      <c r="C66" s="2" t="inlineStr">
        <is>
          <t>COLEGIO EL NOGAL (IED)</t>
        </is>
      </c>
      <c r="D66" s="2" t="inlineStr">
        <is>
          <t>DULCE MARTINA CARMONA DUCUARA</t>
        </is>
      </c>
      <c r="E66" s="2" t="inlineStr">
        <is>
          <t>1072963819</t>
        </is>
      </c>
      <c r="F66" s="2" t="n">
        <v>3</v>
      </c>
      <c r="G66" s="2" t="n">
        <v>301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A</t>
        </is>
      </c>
      <c r="AD66" s="4" t="inlineStr">
        <is>
          <t>INCORRECTO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B</t>
        </is>
      </c>
      <c r="AH66" s="4" t="inlineStr">
        <is>
          <t>INCORRECTO</t>
        </is>
      </c>
      <c r="AI66" s="2" t="inlineStr">
        <is>
          <t>C</t>
        </is>
      </c>
      <c r="AJ66" s="4" t="inlineStr">
        <is>
          <t>INCORRECTO</t>
        </is>
      </c>
      <c r="AK66" s="2" t="inlineStr">
        <is>
          <t>A</t>
        </is>
      </c>
      <c r="AL66" s="3" t="inlineStr">
        <is>
          <t>CORRECTO</t>
        </is>
      </c>
      <c r="AM66" s="5">
        <f>COUNTIF(J66:AL66,"CORRECTO")</f>
        <v/>
      </c>
      <c r="AN66" s="5">
        <f>COUNTIF(J66:AL66,"INCORRECTO")</f>
        <v/>
      </c>
      <c r="AO66" s="5" t="n">
        <v>15</v>
      </c>
      <c r="AP66" s="6">
        <f>AM66/AO66</f>
        <v/>
      </c>
    </row>
    <row r="67">
      <c r="A67" s="2" t="inlineStr">
        <is>
          <t>TRATADO</t>
        </is>
      </c>
      <c r="B67" s="2" t="inlineStr">
        <is>
          <t>111001800635</t>
        </is>
      </c>
      <c r="C67" s="2" t="inlineStr">
        <is>
          <t>COLEGIO EL NOGAL (IED)</t>
        </is>
      </c>
      <c r="D67" s="2" t="inlineStr">
        <is>
          <t>CRISTIAN FELIPE TIQUE YAGUARA</t>
        </is>
      </c>
      <c r="E67" s="2" t="inlineStr">
        <is>
          <t>1024597732</t>
        </is>
      </c>
      <c r="F67" s="2" t="n">
        <v>3</v>
      </c>
      <c r="G67" s="2" t="n">
        <v>301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D</t>
        </is>
      </c>
      <c r="L67" s="4" t="inlineStr">
        <is>
          <t>INCORRECTO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D</t>
        </is>
      </c>
      <c r="X67" s="4" t="inlineStr">
        <is>
          <t>INCORRECTO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B</t>
        </is>
      </c>
      <c r="AB67" s="4" t="inlineStr">
        <is>
          <t>INCORRECTO</t>
        </is>
      </c>
      <c r="AC67" s="2" t="inlineStr">
        <is>
          <t>A</t>
        </is>
      </c>
      <c r="AD67" s="4" t="inlineStr">
        <is>
          <t>INCORRECTO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A</t>
        </is>
      </c>
      <c r="AH67" s="3" t="inlineStr">
        <is>
          <t>CORRECTO</t>
        </is>
      </c>
      <c r="AI67" s="2" t="inlineStr">
        <is>
          <t>A</t>
        </is>
      </c>
      <c r="AJ67" s="4" t="inlineStr">
        <is>
          <t>INCORRECTO</t>
        </is>
      </c>
      <c r="AK67" s="2" t="inlineStr">
        <is>
          <t>A</t>
        </is>
      </c>
      <c r="AL67" s="3" t="inlineStr">
        <is>
          <t>CORRECTO</t>
        </is>
      </c>
      <c r="AM67" s="5">
        <f>COUNTIF(J67:AL67,"CORRECTO")</f>
        <v/>
      </c>
      <c r="AN67" s="5">
        <f>COUNTIF(J67:AL67,"INCORRECTO")</f>
        <v/>
      </c>
      <c r="AO67" s="5" t="n">
        <v>15</v>
      </c>
      <c r="AP67" s="6">
        <f>AM67/AO67</f>
        <v/>
      </c>
    </row>
    <row r="68">
      <c r="A68" s="2" t="inlineStr">
        <is>
          <t>TRATADO</t>
        </is>
      </c>
      <c r="B68" s="2" t="inlineStr">
        <is>
          <t>111001800635</t>
        </is>
      </c>
      <c r="C68" s="2" t="inlineStr">
        <is>
          <t>COLEGIO EL NOGAL (IED)</t>
        </is>
      </c>
      <c r="D68" s="2" t="inlineStr">
        <is>
          <t>IAN SEBASTIAN ORTIZ FAJARDO</t>
        </is>
      </c>
      <c r="E68" s="2" t="inlineStr">
        <is>
          <t>1024600844</t>
        </is>
      </c>
      <c r="F68" s="2" t="n">
        <v>3</v>
      </c>
      <c r="G68" s="2" t="n">
        <v>301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C</t>
        </is>
      </c>
      <c r="T68" s="4" t="inlineStr">
        <is>
          <t>INCORRECTO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A</t>
        </is>
      </c>
      <c r="AD68" s="4" t="inlineStr">
        <is>
          <t>INCORRECTO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A</t>
        </is>
      </c>
      <c r="AH68" s="3" t="inlineStr">
        <is>
          <t>CORRECTO</t>
        </is>
      </c>
      <c r="AI68" s="2" t="inlineStr">
        <is>
          <t>C</t>
        </is>
      </c>
      <c r="AJ68" s="4" t="inlineStr">
        <is>
          <t>INCORRECTO</t>
        </is>
      </c>
      <c r="AK68" s="2" t="inlineStr">
        <is>
          <t>D</t>
        </is>
      </c>
      <c r="AL68" s="4" t="inlineStr">
        <is>
          <t>INCORRECTO</t>
        </is>
      </c>
      <c r="AM68" s="5">
        <f>COUNTIF(J68:AL68,"CORRECTO")</f>
        <v/>
      </c>
      <c r="AN68" s="5">
        <f>COUNTIF(J68:AL68,"INCORRECTO")</f>
        <v/>
      </c>
      <c r="AO68" s="5" t="n">
        <v>15</v>
      </c>
      <c r="AP68" s="6">
        <f>AM68/AO68</f>
        <v/>
      </c>
    </row>
    <row r="69">
      <c r="A69" s="2" t="inlineStr">
        <is>
          <t>TRATADO</t>
        </is>
      </c>
      <c r="B69" s="2" t="inlineStr">
        <is>
          <t>111001800635</t>
        </is>
      </c>
      <c r="C69" s="2" t="inlineStr">
        <is>
          <t>COLEGIO EL NOGAL (IED)</t>
        </is>
      </c>
      <c r="D69" s="2" t="inlineStr">
        <is>
          <t>VALERY LUCIANA ROMERO MAHECHA</t>
        </is>
      </c>
      <c r="E69" s="2" t="inlineStr">
        <is>
          <t>1033819970</t>
        </is>
      </c>
      <c r="F69" s="2" t="n">
        <v>3</v>
      </c>
      <c r="G69" s="2" t="n">
        <v>301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B</t>
        </is>
      </c>
      <c r="AD69" s="4" t="inlineStr">
        <is>
          <t>INCORRECTO</t>
        </is>
      </c>
      <c r="AE69" s="2" t="inlineStr">
        <is>
          <t>C</t>
        </is>
      </c>
      <c r="AF69" s="4" t="inlineStr">
        <is>
          <t>INCORRECTO</t>
        </is>
      </c>
      <c r="AG69" s="2" t="inlineStr">
        <is>
          <t>A</t>
        </is>
      </c>
      <c r="AH69" s="3" t="inlineStr">
        <is>
          <t>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A</t>
        </is>
      </c>
      <c r="AL69" s="3" t="inlineStr">
        <is>
          <t>CORRECTO</t>
        </is>
      </c>
      <c r="AM69" s="5">
        <f>COUNTIF(J69:AL69,"CORRECTO")</f>
        <v/>
      </c>
      <c r="AN69" s="5">
        <f>COUNTIF(J69:AL69,"INCORRECTO")</f>
        <v/>
      </c>
      <c r="AO69" s="5" t="n">
        <v>15</v>
      </c>
      <c r="AP69" s="6">
        <f>AM69/AO69</f>
        <v/>
      </c>
    </row>
    <row r="70">
      <c r="A70" s="2" t="inlineStr">
        <is>
          <t>TRATADO</t>
        </is>
      </c>
      <c r="B70" s="2" t="inlineStr">
        <is>
          <t>111001800635</t>
        </is>
      </c>
      <c r="C70" s="2" t="inlineStr">
        <is>
          <t>COLEGIO EL NOGAL (IED)</t>
        </is>
      </c>
      <c r="D70" s="2" t="inlineStr">
        <is>
          <t>TOMAS BARRERA DIAZ</t>
        </is>
      </c>
      <c r="E70" s="2" t="inlineStr">
        <is>
          <t>1141360985</t>
        </is>
      </c>
      <c r="F70" s="2" t="n">
        <v>3</v>
      </c>
      <c r="G70" s="2" t="n">
        <v>301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A</t>
        </is>
      </c>
      <c r="AH70" s="3" t="inlineStr">
        <is>
          <t>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D</t>
        </is>
      </c>
      <c r="AL70" s="4" t="inlineStr">
        <is>
          <t>INCORRECTO</t>
        </is>
      </c>
      <c r="AM70" s="5">
        <f>COUNTIF(J70:AL70,"CORRECTO")</f>
        <v/>
      </c>
      <c r="AN70" s="5">
        <f>COUNTIF(J70:AL70,"INCORRECTO")</f>
        <v/>
      </c>
      <c r="AO70" s="5" t="n">
        <v>15</v>
      </c>
      <c r="AP70" s="6">
        <f>AM70/AO70</f>
        <v/>
      </c>
    </row>
    <row r="71">
      <c r="A71" s="2" t="inlineStr">
        <is>
          <t>TRATADO</t>
        </is>
      </c>
      <c r="B71" s="2" t="inlineStr">
        <is>
          <t>111001800635</t>
        </is>
      </c>
      <c r="C71" s="2" t="inlineStr">
        <is>
          <t>COLEGIO EL NOGAL (IED)</t>
        </is>
      </c>
      <c r="D71" s="2" t="inlineStr">
        <is>
          <t>VALERY SOFIA BETANCOURT BETANCUR</t>
        </is>
      </c>
      <c r="E71" s="2" t="inlineStr">
        <is>
          <t>1028793031</t>
        </is>
      </c>
      <c r="F71" s="2" t="n">
        <v>3</v>
      </c>
      <c r="G71" s="2" t="n">
        <v>301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B</t>
        </is>
      </c>
      <c r="AD71" s="4" t="inlineStr">
        <is>
          <t>INCORRECTO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A</t>
        </is>
      </c>
      <c r="AH71" s="3" t="inlineStr">
        <is>
          <t>CORRECTO</t>
        </is>
      </c>
      <c r="AI71" s="2" t="inlineStr"/>
      <c r="AJ71" s="4" t="inlineStr">
        <is>
          <t>INCORRECTO</t>
        </is>
      </c>
      <c r="AK71" s="2" t="inlineStr">
        <is>
          <t>A</t>
        </is>
      </c>
      <c r="AL71" s="3" t="inlineStr">
        <is>
          <t>CORRECTO</t>
        </is>
      </c>
      <c r="AM71" s="5">
        <f>COUNTIF(J71:AL71,"CORRECTO")</f>
        <v/>
      </c>
      <c r="AN71" s="5">
        <f>COUNTIF(J71:AL71,"INCORRECTO")</f>
        <v/>
      </c>
      <c r="AO71" s="5" t="n">
        <v>15</v>
      </c>
      <c r="AP71" s="6">
        <f>AM71/AO71</f>
        <v/>
      </c>
    </row>
    <row r="72">
      <c r="A72" s="2" t="inlineStr">
        <is>
          <t>TRATADO</t>
        </is>
      </c>
      <c r="B72" s="2" t="inlineStr">
        <is>
          <t>111001800635</t>
        </is>
      </c>
      <c r="C72" s="2" t="inlineStr">
        <is>
          <t>COLEGIO EL NOGAL (IED)</t>
        </is>
      </c>
      <c r="D72" s="2" t="inlineStr">
        <is>
          <t>ANGEL DAVID BONILLA HUERTAS</t>
        </is>
      </c>
      <c r="E72" s="2" t="inlineStr">
        <is>
          <t>1025560727</t>
        </is>
      </c>
      <c r="F72" s="2" t="n">
        <v>3</v>
      </c>
      <c r="G72" s="2" t="n">
        <v>301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A</t>
        </is>
      </c>
      <c r="AH72" s="3" t="inlineStr">
        <is>
          <t>CORRECTO</t>
        </is>
      </c>
      <c r="AI72" s="2" t="inlineStr"/>
      <c r="AJ72" s="4" t="inlineStr">
        <is>
          <t>INCORRECTO</t>
        </is>
      </c>
      <c r="AK72" s="2" t="inlineStr">
        <is>
          <t>A</t>
        </is>
      </c>
      <c r="AL72" s="3" t="inlineStr">
        <is>
          <t>CORRECTO</t>
        </is>
      </c>
      <c r="AM72" s="5">
        <f>COUNTIF(J72:AL72,"CORRECTO")</f>
        <v/>
      </c>
      <c r="AN72" s="5">
        <f>COUNTIF(J72:AL72,"INCORRECTO")</f>
        <v/>
      </c>
      <c r="AO72" s="5" t="n">
        <v>15</v>
      </c>
      <c r="AP72" s="6">
        <f>AM72/AO72</f>
        <v/>
      </c>
    </row>
    <row r="73">
      <c r="A73" s="2" t="inlineStr">
        <is>
          <t>TRATADO</t>
        </is>
      </c>
      <c r="B73" s="2" t="inlineStr">
        <is>
          <t>111001800635</t>
        </is>
      </c>
      <c r="C73" s="2" t="inlineStr">
        <is>
          <t>COLEGIO EL NOGAL (IED)</t>
        </is>
      </c>
      <c r="D73" s="2" t="inlineStr">
        <is>
          <t>ERICK SAMUEL CAPERA GORDILLO</t>
        </is>
      </c>
      <c r="E73" s="2" t="inlineStr">
        <is>
          <t>1029296582</t>
        </is>
      </c>
      <c r="F73" s="2" t="n">
        <v>3</v>
      </c>
      <c r="G73" s="2" t="n">
        <v>301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A</t>
        </is>
      </c>
      <c r="R73" s="4" t="inlineStr">
        <is>
          <t>INCORRECTO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C</t>
        </is>
      </c>
      <c r="AH73" s="4" t="inlineStr">
        <is>
          <t>INCORRECTO</t>
        </is>
      </c>
      <c r="AI73" s="2" t="inlineStr"/>
      <c r="AJ73" s="4" t="inlineStr">
        <is>
          <t>INCORRECTO</t>
        </is>
      </c>
      <c r="AK73" s="2" t="inlineStr">
        <is>
          <t>C</t>
        </is>
      </c>
      <c r="AL73" s="4" t="inlineStr">
        <is>
          <t>INCORRECTO</t>
        </is>
      </c>
      <c r="AM73" s="5">
        <f>COUNTIF(J73:AL73,"CORRECTO")</f>
        <v/>
      </c>
      <c r="AN73" s="5">
        <f>COUNTIF(J73:AL73,"INCORRECTO")</f>
        <v/>
      </c>
      <c r="AO73" s="5" t="n">
        <v>15</v>
      </c>
      <c r="AP73" s="6">
        <f>AM73/AO73</f>
        <v/>
      </c>
    </row>
    <row r="74">
      <c r="A74" s="2" t="inlineStr">
        <is>
          <t>TRATADO</t>
        </is>
      </c>
      <c r="B74" s="2" t="inlineStr">
        <is>
          <t>111001800635</t>
        </is>
      </c>
      <c r="C74" s="2" t="inlineStr">
        <is>
          <t>COLEGIO EL NOGAL (IED)</t>
        </is>
      </c>
      <c r="D74" s="2" t="inlineStr">
        <is>
          <t>SAMUEL JERONIMO CARRILLO VARGAS</t>
        </is>
      </c>
      <c r="E74" s="2" t="inlineStr">
        <is>
          <t>1023412100</t>
        </is>
      </c>
      <c r="F74" s="2" t="n">
        <v>3</v>
      </c>
      <c r="G74" s="2" t="n">
        <v>301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D</t>
        </is>
      </c>
      <c r="AD74" s="4" t="inlineStr">
        <is>
          <t>INCORRECTO</t>
        </is>
      </c>
      <c r="AE74" s="2" t="inlineStr">
        <is>
          <t>A</t>
        </is>
      </c>
      <c r="AF74" s="4" t="inlineStr">
        <is>
          <t>INCORRECTO</t>
        </is>
      </c>
      <c r="AG74" s="2" t="inlineStr">
        <is>
          <t>A</t>
        </is>
      </c>
      <c r="AH74" s="3" t="inlineStr">
        <is>
          <t>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3" t="inlineStr">
        <is>
          <t>CORRECTO</t>
        </is>
      </c>
      <c r="AM74" s="5">
        <f>COUNTIF(J74:AL74,"CORRECTO")</f>
        <v/>
      </c>
      <c r="AN74" s="5">
        <f>COUNTIF(J74:AL74,"INCORRECTO")</f>
        <v/>
      </c>
      <c r="AO74" s="5" t="n">
        <v>15</v>
      </c>
      <c r="AP74" s="6">
        <f>AM74/AO74</f>
        <v/>
      </c>
    </row>
    <row r="75">
      <c r="A75" s="2" t="inlineStr">
        <is>
          <t>TRATADO</t>
        </is>
      </c>
      <c r="B75" s="2" t="inlineStr">
        <is>
          <t>111001800635</t>
        </is>
      </c>
      <c r="C75" s="2" t="inlineStr">
        <is>
          <t>COLEGIO EL NOGAL (IED)</t>
        </is>
      </c>
      <c r="D75" s="2" t="inlineStr">
        <is>
          <t>IAN SANTIAGO DELGADO CASCAVITA</t>
        </is>
      </c>
      <c r="E75" s="2" t="inlineStr">
        <is>
          <t>1011109501</t>
        </is>
      </c>
      <c r="F75" s="2" t="n">
        <v>3</v>
      </c>
      <c r="G75" s="2" t="n">
        <v>301</v>
      </c>
      <c r="H75" s="2" t="inlineStr">
        <is>
          <t>LENGUAJE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C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C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B</t>
        </is>
      </c>
      <c r="AH75" s="4" t="inlineStr">
        <is>
          <t>INCORRECTO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A</t>
        </is>
      </c>
      <c r="AL75" s="3" t="inlineStr">
        <is>
          <t>CORRECTO</t>
        </is>
      </c>
      <c r="AM75" s="5">
        <f>COUNTIF(J75:AL75,"CORRECTO")</f>
        <v/>
      </c>
      <c r="AN75" s="5">
        <f>COUNTIF(J75:AL75,"INCORRECTO")</f>
        <v/>
      </c>
      <c r="AO75" s="5" t="n">
        <v>15</v>
      </c>
      <c r="AP75" s="6">
        <f>AM75/AO75</f>
        <v/>
      </c>
    </row>
    <row r="76">
      <c r="A76" s="2" t="inlineStr">
        <is>
          <t>TRATADO</t>
        </is>
      </c>
      <c r="B76" s="2" t="inlineStr">
        <is>
          <t>111001800635</t>
        </is>
      </c>
      <c r="C76" s="2" t="inlineStr">
        <is>
          <t>COLEGIO EL NOGAL (IED)</t>
        </is>
      </c>
      <c r="D76" s="2" t="inlineStr">
        <is>
          <t>VALERIE DELGADILLO LEON</t>
        </is>
      </c>
      <c r="E76" s="2" t="inlineStr">
        <is>
          <t>1025561873</t>
        </is>
      </c>
      <c r="F76" s="2" t="n">
        <v>3</v>
      </c>
      <c r="G76" s="2" t="n">
        <v>301</v>
      </c>
      <c r="H76" s="2" t="inlineStr">
        <is>
          <t>LENGUAJE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C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A</t>
        </is>
      </c>
      <c r="AD76" s="4" t="inlineStr">
        <is>
          <t>INCORRECTO</t>
        </is>
      </c>
      <c r="AE76" s="2" t="inlineStr">
        <is>
          <t>C</t>
        </is>
      </c>
      <c r="AF76" s="4" t="inlineStr">
        <is>
          <t>INCORRECTO</t>
        </is>
      </c>
      <c r="AG76" s="2" t="inlineStr">
        <is>
          <t>A</t>
        </is>
      </c>
      <c r="AH76" s="3" t="inlineStr">
        <is>
          <t>CORRECTO</t>
        </is>
      </c>
      <c r="AI76" s="2" t="inlineStr"/>
      <c r="AJ76" s="4" t="inlineStr">
        <is>
          <t>INCORRECTO</t>
        </is>
      </c>
      <c r="AK76" s="2" t="inlineStr">
        <is>
          <t>A</t>
        </is>
      </c>
      <c r="AL76" s="3" t="inlineStr">
        <is>
          <t>CORRECTO</t>
        </is>
      </c>
      <c r="AM76" s="5">
        <f>COUNTIF(J76:AL76,"CORRECTO")</f>
        <v/>
      </c>
      <c r="AN76" s="5">
        <f>COUNTIF(J76:AL76,"INCORRECTO")</f>
        <v/>
      </c>
      <c r="AO76" s="5" t="n">
        <v>15</v>
      </c>
      <c r="AP76" s="6">
        <f>AM76/AO76</f>
        <v/>
      </c>
    </row>
    <row r="77">
      <c r="A77" s="2" t="inlineStr">
        <is>
          <t>TRATADO</t>
        </is>
      </c>
      <c r="B77" s="2" t="inlineStr">
        <is>
          <t>111001800635</t>
        </is>
      </c>
      <c r="C77" s="2" t="inlineStr">
        <is>
          <t>COLEGIO EL NOGAL (IED)</t>
        </is>
      </c>
      <c r="D77" s="2" t="inlineStr">
        <is>
          <t>IAN SAMUEL CRUZ PACHON</t>
        </is>
      </c>
      <c r="E77" s="2" t="inlineStr">
        <is>
          <t>1023976632</t>
        </is>
      </c>
      <c r="F77" s="2" t="n">
        <v>3</v>
      </c>
      <c r="G77" s="2" t="n">
        <v>301</v>
      </c>
      <c r="H77" s="2" t="inlineStr">
        <is>
          <t>LENGUAJE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B</t>
        </is>
      </c>
      <c r="AF77" s="3" t="inlineStr">
        <is>
          <t>CORRECTO</t>
        </is>
      </c>
      <c r="AG77" s="2" t="inlineStr">
        <is>
          <t>A</t>
        </is>
      </c>
      <c r="AH77" s="3" t="inlineStr">
        <is>
          <t>CORRECTO</t>
        </is>
      </c>
      <c r="AI77" s="2" t="inlineStr">
        <is>
          <t>A</t>
        </is>
      </c>
      <c r="AJ77" s="4" t="inlineStr">
        <is>
          <t>INCORRECTO</t>
        </is>
      </c>
      <c r="AK77" s="2" t="inlineStr">
        <is>
          <t>A</t>
        </is>
      </c>
      <c r="AL77" s="3" t="inlineStr">
        <is>
          <t>CORRECTO</t>
        </is>
      </c>
      <c r="AM77" s="5">
        <f>COUNTIF(J77:AL77,"CORRECTO")</f>
        <v/>
      </c>
      <c r="AN77" s="5">
        <f>COUNTIF(J77:AL77,"INCORRECTO")</f>
        <v/>
      </c>
      <c r="AO77" s="5" t="n">
        <v>15</v>
      </c>
      <c r="AP77" s="6">
        <f>AM77/AO77</f>
        <v/>
      </c>
    </row>
    <row r="78">
      <c r="A78" s="2" t="inlineStr">
        <is>
          <t>TRATADO</t>
        </is>
      </c>
      <c r="B78" s="2" t="inlineStr">
        <is>
          <t>111001800635</t>
        </is>
      </c>
      <c r="C78" s="2" t="inlineStr">
        <is>
          <t>COLEGIO EL NOGAL (IED)</t>
        </is>
      </c>
      <c r="D78" s="2" t="inlineStr">
        <is>
          <t>JERONIMO CUERVO DUQUE</t>
        </is>
      </c>
      <c r="E78" s="2" t="inlineStr">
        <is>
          <t>1025561669</t>
        </is>
      </c>
      <c r="F78" s="2" t="n">
        <v>3</v>
      </c>
      <c r="G78" s="2" t="n">
        <v>301</v>
      </c>
      <c r="H78" s="2" t="inlineStr">
        <is>
          <t>LENGUAJE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B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C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B</t>
        </is>
      </c>
      <c r="Z78" s="3" t="inlineStr">
        <is>
          <t>CORRECTO</t>
        </is>
      </c>
      <c r="AA78" s="2" t="inlineStr">
        <is>
          <t>C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B</t>
        </is>
      </c>
      <c r="AF78" s="3" t="inlineStr">
        <is>
          <t>CORRECTO</t>
        </is>
      </c>
      <c r="AG78" s="2" t="inlineStr">
        <is>
          <t>A</t>
        </is>
      </c>
      <c r="AH78" s="3" t="inlineStr">
        <is>
          <t>CORRECTO</t>
        </is>
      </c>
      <c r="AI78" s="2" t="inlineStr"/>
      <c r="AJ78" s="4" t="inlineStr">
        <is>
          <t>INCORRECTO</t>
        </is>
      </c>
      <c r="AK78" s="2" t="inlineStr">
        <is>
          <t>A</t>
        </is>
      </c>
      <c r="AL78" s="3" t="inlineStr">
        <is>
          <t>CORRECTO</t>
        </is>
      </c>
      <c r="AM78" s="5">
        <f>COUNTIF(J78:AL78,"CORRECTO")</f>
        <v/>
      </c>
      <c r="AN78" s="5">
        <f>COUNTIF(J78:AL78,"INCORRECTO")</f>
        <v/>
      </c>
      <c r="AO78" s="5" t="n">
        <v>15</v>
      </c>
      <c r="AP78" s="6">
        <f>AM78/AO78</f>
        <v/>
      </c>
    </row>
    <row r="79">
      <c r="A79" s="2" t="inlineStr">
        <is>
          <t>TRATADO</t>
        </is>
      </c>
      <c r="B79" s="2" t="inlineStr">
        <is>
          <t>111001800635</t>
        </is>
      </c>
      <c r="C79" s="2" t="inlineStr">
        <is>
          <t>COLEGIO EL NOGAL (IED)</t>
        </is>
      </c>
      <c r="D79" s="2" t="inlineStr">
        <is>
          <t>JEREMY JOSUE GARCIA JUEZ</t>
        </is>
      </c>
      <c r="E79" s="2" t="inlineStr">
        <is>
          <t>1024603579</t>
        </is>
      </c>
      <c r="F79" s="2" t="n">
        <v>3</v>
      </c>
      <c r="G79" s="2" t="n">
        <v>301</v>
      </c>
      <c r="H79" s="2" t="inlineStr">
        <is>
          <t>LENGUAJE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C</t>
        </is>
      </c>
      <c r="R79" s="3" t="inlineStr">
        <is>
          <t>CORRECTO</t>
        </is>
      </c>
      <c r="S79" s="2" t="inlineStr">
        <is>
          <t>B</t>
        </is>
      </c>
      <c r="T79" s="3" t="inlineStr">
        <is>
          <t>CORRECTO</t>
        </is>
      </c>
      <c r="U79" s="2" t="inlineStr">
        <is>
          <t>C</t>
        </is>
      </c>
      <c r="V79" s="3" t="inlineStr">
        <is>
          <t>CORRECTO</t>
        </is>
      </c>
      <c r="W79" s="2" t="inlineStr">
        <is>
          <t>C</t>
        </is>
      </c>
      <c r="X79" s="3" t="inlineStr">
        <is>
          <t>CORRECTO</t>
        </is>
      </c>
      <c r="Y79" s="2" t="inlineStr">
        <is>
          <t>B</t>
        </is>
      </c>
      <c r="Z79" s="3" t="inlineStr">
        <is>
          <t>CORRECTO</t>
        </is>
      </c>
      <c r="AA79" s="2" t="inlineStr">
        <is>
          <t>C</t>
        </is>
      </c>
      <c r="AB79" s="3" t="inlineStr">
        <is>
          <t>CORRECTO</t>
        </is>
      </c>
      <c r="AC79" s="2" t="inlineStr">
        <is>
          <t>C</t>
        </is>
      </c>
      <c r="AD79" s="3" t="inlineStr">
        <is>
          <t>CORRECTO</t>
        </is>
      </c>
      <c r="AE79" s="2" t="inlineStr">
        <is>
          <t>B</t>
        </is>
      </c>
      <c r="AF79" s="3" t="inlineStr">
        <is>
          <t>CORRECTO</t>
        </is>
      </c>
      <c r="AG79" s="2" t="inlineStr">
        <is>
          <t>A</t>
        </is>
      </c>
      <c r="AH79" s="3" t="inlineStr">
        <is>
          <t>CORRECTO</t>
        </is>
      </c>
      <c r="AI79" s="2" t="inlineStr">
        <is>
          <t>B</t>
        </is>
      </c>
      <c r="AJ79" s="3" t="inlineStr">
        <is>
          <t>CORRECTO</t>
        </is>
      </c>
      <c r="AK79" s="2" t="inlineStr">
        <is>
          <t>A</t>
        </is>
      </c>
      <c r="AL79" s="3" t="inlineStr">
        <is>
          <t>CORRECTO</t>
        </is>
      </c>
      <c r="AM79" s="5">
        <f>COUNTIF(J79:AL79,"CORRECTO")</f>
        <v/>
      </c>
      <c r="AN79" s="5">
        <f>COUNTIF(J79:AL79,"INCORRECTO")</f>
        <v/>
      </c>
      <c r="AO79" s="5" t="n">
        <v>15</v>
      </c>
      <c r="AP79" s="6">
        <f>AM79/AO79</f>
        <v/>
      </c>
    </row>
    <row r="80">
      <c r="A80" s="2" t="inlineStr">
        <is>
          <t>TRATADO</t>
        </is>
      </c>
      <c r="B80" s="2" t="inlineStr">
        <is>
          <t>111001800635</t>
        </is>
      </c>
      <c r="C80" s="2" t="inlineStr">
        <is>
          <t>COLEGIO EL NOGAL (IED)</t>
        </is>
      </c>
      <c r="D80" s="2" t="inlineStr">
        <is>
          <t>LAURA ISABELLA GAVIRIA RODRIGUEZ</t>
        </is>
      </c>
      <c r="E80" s="2" t="inlineStr">
        <is>
          <t>1024599597</t>
        </is>
      </c>
      <c r="F80" s="2" t="n">
        <v>3</v>
      </c>
      <c r="G80" s="2" t="n">
        <v>301</v>
      </c>
      <c r="H80" s="2" t="inlineStr">
        <is>
          <t>LENGUAJE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B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B</t>
        </is>
      </c>
      <c r="T80" s="3" t="inlineStr">
        <is>
          <t>CORRECTO</t>
        </is>
      </c>
      <c r="U80" s="2" t="inlineStr">
        <is>
          <t>C</t>
        </is>
      </c>
      <c r="V80" s="3" t="inlineStr">
        <is>
          <t>CORRECTO</t>
        </is>
      </c>
      <c r="W80" s="2" t="inlineStr">
        <is>
          <t>C</t>
        </is>
      </c>
      <c r="X80" s="3" t="inlineStr">
        <is>
          <t>CORRECTO</t>
        </is>
      </c>
      <c r="Y80" s="2" t="inlineStr">
        <is>
          <t>B</t>
        </is>
      </c>
      <c r="Z80" s="3" t="inlineStr">
        <is>
          <t>CORRECTO</t>
        </is>
      </c>
      <c r="AA80" s="2" t="inlineStr">
        <is>
          <t>C</t>
        </is>
      </c>
      <c r="AB80" s="3" t="inlineStr">
        <is>
          <t>CORRECTO</t>
        </is>
      </c>
      <c r="AC80" s="2" t="inlineStr">
        <is>
          <t>D</t>
        </is>
      </c>
      <c r="AD80" s="4" t="inlineStr">
        <is>
          <t>INCORRECTO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A</t>
        </is>
      </c>
      <c r="AH80" s="3" t="inlineStr">
        <is>
          <t>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A</t>
        </is>
      </c>
      <c r="AL80" s="3" t="inlineStr">
        <is>
          <t>CORRECTO</t>
        </is>
      </c>
      <c r="AM80" s="5">
        <f>COUNTIF(J80:AL80,"CORRECTO")</f>
        <v/>
      </c>
      <c r="AN80" s="5">
        <f>COUNTIF(J80:AL80,"INCORRECTO")</f>
        <v/>
      </c>
      <c r="AO80" s="5" t="n">
        <v>15</v>
      </c>
      <c r="AP80" s="6">
        <f>AM80/AO80</f>
        <v/>
      </c>
    </row>
    <row r="81">
      <c r="A81" s="2" t="inlineStr">
        <is>
          <t>TRATADO</t>
        </is>
      </c>
      <c r="B81" s="2" t="inlineStr">
        <is>
          <t>111001800635</t>
        </is>
      </c>
      <c r="C81" s="2" t="inlineStr">
        <is>
          <t>COLEGIO EL NOGAL (IED)</t>
        </is>
      </c>
      <c r="D81" s="2" t="inlineStr">
        <is>
          <t>IAN GIL OLAYA</t>
        </is>
      </c>
      <c r="E81" s="2" t="inlineStr">
        <is>
          <t>1023413374</t>
        </is>
      </c>
      <c r="F81" s="2" t="n">
        <v>3</v>
      </c>
      <c r="G81" s="2" t="n">
        <v>301</v>
      </c>
      <c r="H81" s="2" t="inlineStr">
        <is>
          <t>LENGUAJE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C</t>
        </is>
      </c>
      <c r="R81" s="3" t="inlineStr">
        <is>
          <t>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C</t>
        </is>
      </c>
      <c r="V81" s="3" t="inlineStr">
        <is>
          <t>CORRECTO</t>
        </is>
      </c>
      <c r="W81" s="2" t="inlineStr">
        <is>
          <t>C</t>
        </is>
      </c>
      <c r="X81" s="3" t="inlineStr">
        <is>
          <t>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C</t>
        </is>
      </c>
      <c r="AB81" s="3" t="inlineStr">
        <is>
          <t>CORRECTO</t>
        </is>
      </c>
      <c r="AC81" s="2" t="inlineStr">
        <is>
          <t>C</t>
        </is>
      </c>
      <c r="AD81" s="3" t="inlineStr">
        <is>
          <t>CORRECTO</t>
        </is>
      </c>
      <c r="AE81" s="2" t="inlineStr">
        <is>
          <t>B</t>
        </is>
      </c>
      <c r="AF81" s="3" t="inlineStr">
        <is>
          <t>CORRECTO</t>
        </is>
      </c>
      <c r="AG81" s="2" t="inlineStr">
        <is>
          <t>A</t>
        </is>
      </c>
      <c r="AH81" s="3" t="inlineStr">
        <is>
          <t>CORRECTO</t>
        </is>
      </c>
      <c r="AI81" s="2" t="inlineStr">
        <is>
          <t>B</t>
        </is>
      </c>
      <c r="AJ81" s="3" t="inlineStr">
        <is>
          <t>CORRECTO</t>
        </is>
      </c>
      <c r="AK81" s="2" t="inlineStr">
        <is>
          <t>D</t>
        </is>
      </c>
      <c r="AL81" s="4" t="inlineStr">
        <is>
          <t>INCORRECTO</t>
        </is>
      </c>
      <c r="AM81" s="5">
        <f>COUNTIF(J81:AL81,"CORRECTO")</f>
        <v/>
      </c>
      <c r="AN81" s="5">
        <f>COUNTIF(J81:AL81,"INCORRECTO")</f>
        <v/>
      </c>
      <c r="AO81" s="5" t="n">
        <v>15</v>
      </c>
      <c r="AP81" s="6">
        <f>AM81/AO81</f>
        <v/>
      </c>
    </row>
    <row r="82">
      <c r="A82" s="2" t="inlineStr">
        <is>
          <t>TRATADO</t>
        </is>
      </c>
      <c r="B82" s="2" t="inlineStr">
        <is>
          <t>111001800635</t>
        </is>
      </c>
      <c r="C82" s="2" t="inlineStr">
        <is>
          <t>COLEGIO EL NOGAL (IED)</t>
        </is>
      </c>
      <c r="D82" s="2" t="inlineStr">
        <is>
          <t>BRANDON FELIPE GIRAL PABON</t>
        </is>
      </c>
      <c r="E82" s="2" t="inlineStr">
        <is>
          <t>1023413883</t>
        </is>
      </c>
      <c r="F82" s="2" t="n">
        <v>3</v>
      </c>
      <c r="G82" s="2" t="n">
        <v>301</v>
      </c>
      <c r="H82" s="2" t="inlineStr">
        <is>
          <t>LENGUAJE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B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B</t>
        </is>
      </c>
      <c r="T82" s="3" t="inlineStr">
        <is>
          <t>CORRECTO</t>
        </is>
      </c>
      <c r="U82" s="2" t="inlineStr">
        <is>
          <t>C</t>
        </is>
      </c>
      <c r="V82" s="3" t="inlineStr">
        <is>
          <t>CORRECTO</t>
        </is>
      </c>
      <c r="W82" s="2" t="inlineStr">
        <is>
          <t>C</t>
        </is>
      </c>
      <c r="X82" s="3" t="inlineStr">
        <is>
          <t>CORRECTO</t>
        </is>
      </c>
      <c r="Y82" s="2" t="inlineStr">
        <is>
          <t>B</t>
        </is>
      </c>
      <c r="Z82" s="3" t="inlineStr">
        <is>
          <t>CORRECTO</t>
        </is>
      </c>
      <c r="AA82" s="2" t="inlineStr">
        <is>
          <t>C</t>
        </is>
      </c>
      <c r="AB82" s="3" t="inlineStr">
        <is>
          <t>CORRECTO</t>
        </is>
      </c>
      <c r="AC82" s="2" t="inlineStr">
        <is>
          <t>C</t>
        </is>
      </c>
      <c r="AD82" s="3" t="inlineStr">
        <is>
          <t>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C</t>
        </is>
      </c>
      <c r="AH82" s="4" t="inlineStr">
        <is>
          <t>INCORRECTO</t>
        </is>
      </c>
      <c r="AI82" s="2" t="inlineStr">
        <is>
          <t>B</t>
        </is>
      </c>
      <c r="AJ82" s="3" t="inlineStr">
        <is>
          <t>CORRECTO</t>
        </is>
      </c>
      <c r="AK82" s="2" t="inlineStr">
        <is>
          <t>D</t>
        </is>
      </c>
      <c r="AL82" s="4" t="inlineStr">
        <is>
          <t>INCORRECTO</t>
        </is>
      </c>
      <c r="AM82" s="5">
        <f>COUNTIF(J82:AL82,"CORRECTO")</f>
        <v/>
      </c>
      <c r="AN82" s="5">
        <f>COUNTIF(J82:AL82,"INCORRECTO")</f>
        <v/>
      </c>
      <c r="AO82" s="5" t="n">
        <v>15</v>
      </c>
      <c r="AP82" s="6">
        <f>AM82/AO82</f>
        <v/>
      </c>
    </row>
    <row r="83">
      <c r="A83" s="2" t="inlineStr">
        <is>
          <t>TRATADO</t>
        </is>
      </c>
      <c r="B83" s="2" t="inlineStr">
        <is>
          <t>111001800635</t>
        </is>
      </c>
      <c r="C83" s="2" t="inlineStr">
        <is>
          <t>COLEGIO EL NOGAL (IED)</t>
        </is>
      </c>
      <c r="D83" s="2" t="inlineStr">
        <is>
          <t>JUAN JOSE MENDOZA HERNANDEZ</t>
        </is>
      </c>
      <c r="E83" s="2" t="inlineStr">
        <is>
          <t>1023411722</t>
        </is>
      </c>
      <c r="F83" s="2" t="n">
        <v>3</v>
      </c>
      <c r="G83" s="2" t="n">
        <v>301</v>
      </c>
      <c r="H83" s="2" t="inlineStr">
        <is>
          <t>LENGUAJE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B</t>
        </is>
      </c>
      <c r="N83" s="3" t="inlineStr">
        <is>
          <t>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C</t>
        </is>
      </c>
      <c r="V83" s="3" t="inlineStr">
        <is>
          <t>CORRECTO</t>
        </is>
      </c>
      <c r="W83" s="2" t="inlineStr">
        <is>
          <t>C</t>
        </is>
      </c>
      <c r="X83" s="3" t="inlineStr">
        <is>
          <t>CORRECTO</t>
        </is>
      </c>
      <c r="Y83" s="2" t="inlineStr">
        <is>
          <t>B</t>
        </is>
      </c>
      <c r="Z83" s="3" t="inlineStr">
        <is>
          <t>CORRECTO</t>
        </is>
      </c>
      <c r="AA83" s="2" t="inlineStr">
        <is>
          <t>C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B</t>
        </is>
      </c>
      <c r="AF83" s="3" t="inlineStr">
        <is>
          <t>CORRECTO</t>
        </is>
      </c>
      <c r="AG83" s="2" t="inlineStr">
        <is>
          <t>A</t>
        </is>
      </c>
      <c r="AH83" s="3" t="inlineStr">
        <is>
          <t>CORRECTO</t>
        </is>
      </c>
      <c r="AI83" s="2" t="inlineStr">
        <is>
          <t>A</t>
        </is>
      </c>
      <c r="AJ83" s="4" t="inlineStr">
        <is>
          <t>INCORRECTO</t>
        </is>
      </c>
      <c r="AK83" s="2" t="inlineStr">
        <is>
          <t>D</t>
        </is>
      </c>
      <c r="AL83" s="4" t="inlineStr">
        <is>
          <t>INCORRECTO</t>
        </is>
      </c>
      <c r="AM83" s="5">
        <f>COUNTIF(J83:AL83,"CORRECTO")</f>
        <v/>
      </c>
      <c r="AN83" s="5">
        <f>COUNTIF(J83:AL83,"INCORRECTO")</f>
        <v/>
      </c>
      <c r="AO83" s="5" t="n">
        <v>15</v>
      </c>
      <c r="AP83" s="6">
        <f>AM83/AO83</f>
        <v/>
      </c>
    </row>
    <row r="84">
      <c r="A84" s="2" t="inlineStr">
        <is>
          <t>TRATADO</t>
        </is>
      </c>
      <c r="B84" s="2" t="inlineStr">
        <is>
          <t>111001800635</t>
        </is>
      </c>
      <c r="C84" s="2" t="inlineStr">
        <is>
          <t>COLEGIO EL NOGAL (IED)</t>
        </is>
      </c>
      <c r="D84" s="2" t="inlineStr">
        <is>
          <t>HARVI SAMUEL LOPEZ VILLAIZAN</t>
        </is>
      </c>
      <c r="E84" s="2" t="inlineStr">
        <is>
          <t>1012924320</t>
        </is>
      </c>
      <c r="F84" s="2" t="n">
        <v>3</v>
      </c>
      <c r="G84" s="2" t="n">
        <v>301</v>
      </c>
      <c r="H84" s="2" t="inlineStr">
        <is>
          <t>LENGUAJE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B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3" t="inlineStr">
        <is>
          <t>CORRECTO</t>
        </is>
      </c>
      <c r="S84" s="2" t="inlineStr">
        <is>
          <t>B</t>
        </is>
      </c>
      <c r="T84" s="3" t="inlineStr">
        <is>
          <t>CORRECTO</t>
        </is>
      </c>
      <c r="U84" s="2" t="inlineStr">
        <is>
          <t>C</t>
        </is>
      </c>
      <c r="V84" s="3" t="inlineStr">
        <is>
          <t>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B</t>
        </is>
      </c>
      <c r="Z84" s="3" t="inlineStr">
        <is>
          <t>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A</t>
        </is>
      </c>
      <c r="AD84" s="4" t="inlineStr">
        <is>
          <t>INCORRECTO</t>
        </is>
      </c>
      <c r="AE84" s="2" t="inlineStr">
        <is>
          <t>B</t>
        </is>
      </c>
      <c r="AF84" s="3" t="inlineStr">
        <is>
          <t>CORRECTO</t>
        </is>
      </c>
      <c r="AG84" s="2" t="inlineStr">
        <is>
          <t>A</t>
        </is>
      </c>
      <c r="AH84" s="3" t="inlineStr">
        <is>
          <t>CORRECTO</t>
        </is>
      </c>
      <c r="AI84" s="2" t="inlineStr">
        <is>
          <t>B</t>
        </is>
      </c>
      <c r="AJ84" s="3" t="inlineStr">
        <is>
          <t>CORRECTO</t>
        </is>
      </c>
      <c r="AK84" s="2" t="inlineStr">
        <is>
          <t>D</t>
        </is>
      </c>
      <c r="AL84" s="4" t="inlineStr">
        <is>
          <t>INCORRECTO</t>
        </is>
      </c>
      <c r="AM84" s="5">
        <f>COUNTIF(J84:AL84,"CORRECTO")</f>
        <v/>
      </c>
      <c r="AN84" s="5">
        <f>COUNTIF(J84:AL84,"INCORRECTO")</f>
        <v/>
      </c>
      <c r="AO84" s="5" t="n">
        <v>15</v>
      </c>
      <c r="AP84" s="6">
        <f>AM84/AO84</f>
        <v/>
      </c>
    </row>
    <row r="85">
      <c r="A85" s="2" t="inlineStr">
        <is>
          <t>TRATADO</t>
        </is>
      </c>
      <c r="B85" s="2" t="inlineStr">
        <is>
          <t>111001800635</t>
        </is>
      </c>
      <c r="C85" s="2" t="inlineStr">
        <is>
          <t>COLEGIO EL NOGAL (IED)</t>
        </is>
      </c>
      <c r="D85" s="2" t="inlineStr">
        <is>
          <t>MARTIN JOEL LANCHEROS CARVAJAL</t>
        </is>
      </c>
      <c r="E85" s="2" t="inlineStr">
        <is>
          <t>1024597538</t>
        </is>
      </c>
      <c r="F85" s="2" t="n">
        <v>3</v>
      </c>
      <c r="G85" s="2" t="n">
        <v>301</v>
      </c>
      <c r="H85" s="2" t="inlineStr">
        <is>
          <t>LENGUAJE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B</t>
        </is>
      </c>
      <c r="N85" s="3" t="inlineStr">
        <is>
          <t>CORRECTO</t>
        </is>
      </c>
      <c r="O85" s="2" t="inlineStr">
        <is>
          <t>C</t>
        </is>
      </c>
      <c r="P85" s="3" t="inlineStr">
        <is>
          <t>CORRECTO</t>
        </is>
      </c>
      <c r="Q85" s="2" t="inlineStr">
        <is>
          <t>C</t>
        </is>
      </c>
      <c r="R85" s="3" t="inlineStr">
        <is>
          <t>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C</t>
        </is>
      </c>
      <c r="V85" s="3" t="inlineStr">
        <is>
          <t>CORRECTO</t>
        </is>
      </c>
      <c r="W85" s="2" t="inlineStr">
        <is>
          <t>C</t>
        </is>
      </c>
      <c r="X85" s="3" t="inlineStr">
        <is>
          <t>CORRECTO</t>
        </is>
      </c>
      <c r="Y85" s="2" t="inlineStr">
        <is>
          <t>B</t>
        </is>
      </c>
      <c r="Z85" s="3" t="inlineStr">
        <is>
          <t>CORRECTO</t>
        </is>
      </c>
      <c r="AA85" s="2" t="inlineStr">
        <is>
          <t>C</t>
        </is>
      </c>
      <c r="AB85" s="3" t="inlineStr">
        <is>
          <t>CORRECTO</t>
        </is>
      </c>
      <c r="AC85" s="2" t="inlineStr">
        <is>
          <t>C</t>
        </is>
      </c>
      <c r="AD85" s="3" t="inlineStr">
        <is>
          <t>CORRECTO</t>
        </is>
      </c>
      <c r="AE85" s="2" t="inlineStr">
        <is>
          <t>B</t>
        </is>
      </c>
      <c r="AF85" s="3" t="inlineStr">
        <is>
          <t>CORRECTO</t>
        </is>
      </c>
      <c r="AG85" s="2" t="inlineStr">
        <is>
          <t>A</t>
        </is>
      </c>
      <c r="AH85" s="3" t="inlineStr">
        <is>
          <t>CORRECTO</t>
        </is>
      </c>
      <c r="AI85" s="2" t="inlineStr">
        <is>
          <t>A</t>
        </is>
      </c>
      <c r="AJ85" s="4" t="inlineStr">
        <is>
          <t>INCORRECTO</t>
        </is>
      </c>
      <c r="AK85" s="2" t="inlineStr">
        <is>
          <t>A</t>
        </is>
      </c>
      <c r="AL85" s="3" t="inlineStr">
        <is>
          <t>CORRECTO</t>
        </is>
      </c>
      <c r="AM85" s="5">
        <f>COUNTIF(J85:AL85,"CORRECTO")</f>
        <v/>
      </c>
      <c r="AN85" s="5">
        <f>COUNTIF(J85:AL85,"INCORRECTO")</f>
        <v/>
      </c>
      <c r="AO85" s="5" t="n">
        <v>15</v>
      </c>
      <c r="AP85" s="6">
        <f>AM85/AO85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2026-06-24T14:27:44Z</dcterms:created>
  <dcterms:modified xmlns:dcterms="http://purl.org/dc/terms/" xmlns:xsi="http://www.w3.org/2001/XMLSchema-instance" xsi:type="dcterms:W3CDTF">2026-06-24T14:27:44Z</dcterms:modified>
</cp:coreProperties>
</file>