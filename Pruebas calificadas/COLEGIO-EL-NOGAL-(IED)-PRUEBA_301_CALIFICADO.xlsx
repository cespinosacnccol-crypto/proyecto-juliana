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JOHANN MATIAS HINESTROZA BUITRAGO</t>
        </is>
      </c>
      <c r="E2" s="2" t="inlineStr">
        <is>
          <t>1023412232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EVELIN NATALIA GONZALEZ VELASCO</t>
        </is>
      </c>
      <c r="E3" s="2" t="inlineStr">
        <is>
          <t>1029297020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SARA SOFIA ORTIZ RITACUBA</t>
        </is>
      </c>
      <c r="E4" s="2" t="inlineStr">
        <is>
          <t>1222217382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MATHIAS QUINTERO NOSSA</t>
        </is>
      </c>
      <c r="E5" s="2" t="inlineStr">
        <is>
          <t>1011250724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LINDA SALOME RODRIGUEZ CUBILLOS</t>
        </is>
      </c>
      <c r="E6" s="2" t="inlineStr">
        <is>
          <t>1013689158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DILAN SAMUEL RAMOS CASTRO</t>
        </is>
      </c>
      <c r="E7" s="2" t="inlineStr">
        <is>
          <t>1010247162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MARTIN FELIPE ALEGRIA VILLANUEVA</t>
        </is>
      </c>
      <c r="E8" s="2" t="inlineStr">
        <is>
          <t>1024601143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CHARI SALOME HERREÑO QUITIAN</t>
        </is>
      </c>
      <c r="E9" s="2" t="inlineStr">
        <is>
          <t>1025562161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JHOAN STEVAN SOTELO CONTRERAS</t>
        </is>
      </c>
      <c r="E10" s="2" t="inlineStr">
        <is>
          <t>1024596859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MARIANA SALOME MOLINA CORTES</t>
        </is>
      </c>
      <c r="E11" s="2" t="inlineStr">
        <is>
          <t>1032509066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MEIKEL SMAICK DELGADO ESPITIA</t>
        </is>
      </c>
      <c r="E12" s="2" t="inlineStr">
        <is>
          <t>1033820222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DANNA SOFIA SANDOVAL BELTRAN</t>
        </is>
      </c>
      <c r="E13" s="2" t="inlineStr">
        <is>
          <t>1013691570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D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SAMUEL ADOLFO NISPERUZA BELTRAN</t>
        </is>
      </c>
      <c r="E14" s="2" t="inlineStr">
        <is>
          <t>1141137071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JUAN PABLO LINERO GONZALEZ</t>
        </is>
      </c>
      <c r="E15" s="2" t="inlineStr">
        <is>
          <t>1024603369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SHAIRA ISABELL GRAJALES ROA</t>
        </is>
      </c>
      <c r="E16" s="2" t="inlineStr">
        <is>
          <t>1024597675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SAMUEL SANTIAGO HERNANDEZ COBOS</t>
        </is>
      </c>
      <c r="E17" s="2" t="inlineStr">
        <is>
          <t>1024598498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EILEN SAMARA GALVEZ RIZACUBA</t>
        </is>
      </c>
      <c r="E18" s="2" t="inlineStr">
        <is>
          <t>1206222637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CRISTOPHER MARTIN RODRIGUEZ CALDERON</t>
        </is>
      </c>
      <c r="E19" s="2" t="inlineStr">
        <is>
          <t>1030702251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SARA ALEJANDRA MENDOZA BARRERA</t>
        </is>
      </c>
      <c r="E20" s="2" t="inlineStr">
        <is>
          <t>1024600074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/>
      <c r="AL20" s="4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IAN MIGUEL SANCHEZ LOPEZ</t>
        </is>
      </c>
      <c r="E21" s="2" t="inlineStr">
        <is>
          <t>1023412551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JOEL DANIEL NOVA LANCHEROS</t>
        </is>
      </c>
      <c r="E22" s="2" t="inlineStr">
        <is>
          <t>1023412172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MARIA PAULA TEJADA URIBE</t>
        </is>
      </c>
      <c r="E23" s="2" t="inlineStr">
        <is>
          <t>1028672837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DULCE MARTINA CARMONA DUCUARA</t>
        </is>
      </c>
      <c r="E24" s="2" t="inlineStr">
        <is>
          <t>1072963819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CRISTIAN FELIPE TIQUE YAGUARA</t>
        </is>
      </c>
      <c r="E25" s="2" t="inlineStr">
        <is>
          <t>1024597732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IAN SEBASTIAN ORTIZ FAJARDO</t>
        </is>
      </c>
      <c r="E26" s="2" t="inlineStr">
        <is>
          <t>1024600844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VALERY LUCIANA ROMERO MAHECHA</t>
        </is>
      </c>
      <c r="E27" s="2" t="inlineStr">
        <is>
          <t>1033819970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/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TOMAS BARRERA DIAZ</t>
        </is>
      </c>
      <c r="E28" s="2" t="inlineStr">
        <is>
          <t>1141360985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C</t>
        </is>
      </c>
      <c r="AL28" s="4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VALERY SOFIA BETANCOURT BETANCUR</t>
        </is>
      </c>
      <c r="E29" s="2" t="inlineStr">
        <is>
          <t>1028793031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ANGEL DAVID BONILLA HUERTAS</t>
        </is>
      </c>
      <c r="E30" s="2" t="inlineStr">
        <is>
          <t>1025560727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ERICK SAMUEL CAPERA GORDILLO</t>
        </is>
      </c>
      <c r="E31" s="2" t="inlineStr">
        <is>
          <t>1029296582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SAMUEL JERONIMO CARRILLO VARGAS</t>
        </is>
      </c>
      <c r="E32" s="2" t="inlineStr">
        <is>
          <t>1023412100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IAN SANTIAGO DELGADO CASCAVITA</t>
        </is>
      </c>
      <c r="E33" s="2" t="inlineStr">
        <is>
          <t>1011109501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VALERIE DELGADILLO LEON</t>
        </is>
      </c>
      <c r="E34" s="2" t="inlineStr">
        <is>
          <t>1025561873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C</t>
        </is>
      </c>
      <c r="AL34" s="4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IAN SAMUEL CRUZ PACHON</t>
        </is>
      </c>
      <c r="E35" s="2" t="inlineStr">
        <is>
          <t>1023976632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/>
      <c r="AB35" s="4" t="inlineStr">
        <is>
          <t>INCORRECTO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D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JERONIMO CUERVO DUQUE</t>
        </is>
      </c>
      <c r="E36" s="2" t="inlineStr">
        <is>
          <t>1025561669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JEREMY JOSUE GARCIA JUEZ</t>
        </is>
      </c>
      <c r="E37" s="2" t="inlineStr">
        <is>
          <t>1024603579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LAURA ISABELLA GAVIRIA RODRIGUEZ</t>
        </is>
      </c>
      <c r="E38" s="2" t="inlineStr">
        <is>
          <t>1024599597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IAN GIL OLAYA</t>
        </is>
      </c>
      <c r="E39" s="2" t="inlineStr">
        <is>
          <t>1023413374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D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BRANDON FELIPE GIRAL PABON</t>
        </is>
      </c>
      <c r="E40" s="2" t="inlineStr">
        <is>
          <t>1023413883</t>
        </is>
      </c>
      <c r="F40" s="2" t="n">
        <v>3</v>
      </c>
      <c r="G40" s="2" t="n">
        <v>301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D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JOSE MENDOZA HERNANDEZ</t>
        </is>
      </c>
      <c r="E41" s="2" t="inlineStr">
        <is>
          <t>1023411722</t>
        </is>
      </c>
      <c r="F41" s="2" t="n">
        <v>3</v>
      </c>
      <c r="G41" s="2" t="n">
        <v>301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HARVI SAMUEL LOPEZ VILLAIZAN</t>
        </is>
      </c>
      <c r="E42" s="2" t="inlineStr">
        <is>
          <t>1012924320</t>
        </is>
      </c>
      <c r="F42" s="2" t="n">
        <v>3</v>
      </c>
      <c r="G42" s="2" t="n">
        <v>301</v>
      </c>
      <c r="H42" s="2" t="inlineStr">
        <is>
          <t>MATEMÁTICAS</t>
        </is>
      </c>
      <c r="I42" s="2" t="inlineStr">
        <is>
          <t>D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MARTIN JOEL LANCHEROS CARVAJAL</t>
        </is>
      </c>
      <c r="E43" s="2" t="inlineStr">
        <is>
          <t>1024597538</t>
        </is>
      </c>
      <c r="F43" s="2" t="n">
        <v>3</v>
      </c>
      <c r="G43" s="2" t="n">
        <v>301</v>
      </c>
      <c r="H43" s="2" t="inlineStr">
        <is>
          <t>MATEMÁTICAS</t>
        </is>
      </c>
      <c r="I43" s="2" t="inlineStr">
        <is>
          <t>D</t>
        </is>
      </c>
      <c r="J43" s="3" t="inlineStr">
        <is>
          <t>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D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JOHANN MATIAS HINESTROZA BUITRAGO</t>
        </is>
      </c>
      <c r="E44" s="2" t="inlineStr">
        <is>
          <t>1023412232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EVELIN NATALIA GONZALEZ VELASCO</t>
        </is>
      </c>
      <c r="E45" s="2" t="inlineStr">
        <is>
          <t>1029297020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SARA SOFIA ORTIZ RITACUBA</t>
        </is>
      </c>
      <c r="E46" s="2" t="inlineStr">
        <is>
          <t>1222217382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C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MATHIAS QUINTERO NOSSA</t>
        </is>
      </c>
      <c r="E47" s="2" t="inlineStr">
        <is>
          <t>1011250724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LINDA SALOME RODRIGUEZ CUBILLOS</t>
        </is>
      </c>
      <c r="E48" s="2" t="inlineStr">
        <is>
          <t>1013689158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DILAN SAMUEL RAMOS CASTRO</t>
        </is>
      </c>
      <c r="E49" s="2" t="inlineStr">
        <is>
          <t>1010247162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/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MARTIN FELIPE ALEGRIA VILLANUEVA</t>
        </is>
      </c>
      <c r="E50" s="2" t="inlineStr">
        <is>
          <t>1024601143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C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CHARI SALOME HERREÑO QUITIAN</t>
        </is>
      </c>
      <c r="E51" s="2" t="inlineStr">
        <is>
          <t>1025562161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/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JHOAN STEVAN SOTELO CONTRERAS</t>
        </is>
      </c>
      <c r="E52" s="2" t="inlineStr">
        <is>
          <t>1024596859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MARIANA SALOME MOLINA CORTES</t>
        </is>
      </c>
      <c r="E53" s="2" t="inlineStr">
        <is>
          <t>1032509066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MEIKEL SMAICK DELGADO ESPITIA</t>
        </is>
      </c>
      <c r="E54" s="2" t="inlineStr">
        <is>
          <t>1033820222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DANNA SOFIA SANDOVAL BELTRAN</t>
        </is>
      </c>
      <c r="E55" s="2" t="inlineStr">
        <is>
          <t>1013691570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/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SAMUEL ADOLFO NISPERUZA BELTRAN</t>
        </is>
      </c>
      <c r="E56" s="2" t="inlineStr">
        <is>
          <t>1141137071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C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JUAN PABLO LINERO GONZALEZ</t>
        </is>
      </c>
      <c r="E57" s="2" t="inlineStr">
        <is>
          <t>1024603369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111001800635</t>
        </is>
      </c>
      <c r="C58" s="2" t="inlineStr">
        <is>
          <t>COLEGIO EL NOGAL (IED)</t>
        </is>
      </c>
      <c r="D58" s="2" t="inlineStr">
        <is>
          <t>SHAIRA ISABELL GRAJALES ROA</t>
        </is>
      </c>
      <c r="E58" s="2" t="inlineStr">
        <is>
          <t>1024597675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111001800635</t>
        </is>
      </c>
      <c r="C59" s="2" t="inlineStr">
        <is>
          <t>COLEGIO EL NOGAL (IED)</t>
        </is>
      </c>
      <c r="D59" s="2" t="inlineStr">
        <is>
          <t>SAMUEL SANTIAGO HERNANDEZ COBOS</t>
        </is>
      </c>
      <c r="E59" s="2" t="inlineStr">
        <is>
          <t>1024598498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3" t="inlineStr">
        <is>
          <t>CORRECTO</t>
        </is>
      </c>
      <c r="AI59" s="2" t="inlineStr"/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111001800635</t>
        </is>
      </c>
      <c r="C60" s="2" t="inlineStr">
        <is>
          <t>COLEGIO EL NOGAL (IED)</t>
        </is>
      </c>
      <c r="D60" s="2" t="inlineStr">
        <is>
          <t>EILEN SAMARA GALVEZ RIZACUBA</t>
        </is>
      </c>
      <c r="E60" s="2" t="inlineStr">
        <is>
          <t>1206222637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111001800635</t>
        </is>
      </c>
      <c r="C61" s="2" t="inlineStr">
        <is>
          <t>COLEGIO EL NOGAL (IED)</t>
        </is>
      </c>
      <c r="D61" s="2" t="inlineStr">
        <is>
          <t>CRISTOPHER MARTIN RODRIGUEZ CALDERON</t>
        </is>
      </c>
      <c r="E61" s="2" t="inlineStr">
        <is>
          <t>1030702251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D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111001800635</t>
        </is>
      </c>
      <c r="C62" s="2" t="inlineStr">
        <is>
          <t>COLEGIO EL NOGAL (IED)</t>
        </is>
      </c>
      <c r="D62" s="2" t="inlineStr">
        <is>
          <t>SARA ALEJANDRA MENDOZA BARRERA</t>
        </is>
      </c>
      <c r="E62" s="2" t="inlineStr">
        <is>
          <t>1024600074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D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D</t>
        </is>
      </c>
      <c r="AL62" s="4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111001800635</t>
        </is>
      </c>
      <c r="C63" s="2" t="inlineStr">
        <is>
          <t>COLEGIO EL NOGAL (IED)</t>
        </is>
      </c>
      <c r="D63" s="2" t="inlineStr">
        <is>
          <t>IAN MIGUEL SANCHEZ LOPEZ</t>
        </is>
      </c>
      <c r="E63" s="2" t="inlineStr">
        <is>
          <t>1023412551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/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111001800635</t>
        </is>
      </c>
      <c r="C64" s="2" t="inlineStr">
        <is>
          <t>COLEGIO EL NOGAL (IED)</t>
        </is>
      </c>
      <c r="D64" s="2" t="inlineStr">
        <is>
          <t>JOEL DANIEL NOVA LANCHEROS</t>
        </is>
      </c>
      <c r="E64" s="2" t="inlineStr">
        <is>
          <t>1023412172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111001800635</t>
        </is>
      </c>
      <c r="C65" s="2" t="inlineStr">
        <is>
          <t>COLEGIO EL NOGAL (IED)</t>
        </is>
      </c>
      <c r="D65" s="2" t="inlineStr">
        <is>
          <t>MARIA PAULA TEJADA URIBE</t>
        </is>
      </c>
      <c r="E65" s="2" t="inlineStr">
        <is>
          <t>1028672837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111001800635</t>
        </is>
      </c>
      <c r="C66" s="2" t="inlineStr">
        <is>
          <t>COLEGIO EL NOGAL (IED)</t>
        </is>
      </c>
      <c r="D66" s="2" t="inlineStr">
        <is>
          <t>DULCE MARTINA CARMONA DUCUARA</t>
        </is>
      </c>
      <c r="E66" s="2" t="inlineStr">
        <is>
          <t>1072963819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111001800635</t>
        </is>
      </c>
      <c r="C67" s="2" t="inlineStr">
        <is>
          <t>COLEGIO EL NOGAL (IED)</t>
        </is>
      </c>
      <c r="D67" s="2" t="inlineStr">
        <is>
          <t>CRISTIAN FELIPE TIQUE YAGUARA</t>
        </is>
      </c>
      <c r="E67" s="2" t="inlineStr">
        <is>
          <t>1024597732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111001800635</t>
        </is>
      </c>
      <c r="C68" s="2" t="inlineStr">
        <is>
          <t>COLEGIO EL NOGAL (IED)</t>
        </is>
      </c>
      <c r="D68" s="2" t="inlineStr">
        <is>
          <t>IAN SEBASTIAN ORTIZ FAJARDO</t>
        </is>
      </c>
      <c r="E68" s="2" t="inlineStr">
        <is>
          <t>1024600844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C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111001800635</t>
        </is>
      </c>
      <c r="C69" s="2" t="inlineStr">
        <is>
          <t>COLEGIO EL NOGAL (IED)</t>
        </is>
      </c>
      <c r="D69" s="2" t="inlineStr">
        <is>
          <t>VALERY LUCIANA ROMERO MAHECHA</t>
        </is>
      </c>
      <c r="E69" s="2" t="inlineStr">
        <is>
          <t>1033819970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111001800635</t>
        </is>
      </c>
      <c r="C70" s="2" t="inlineStr">
        <is>
          <t>COLEGIO EL NOGAL (IED)</t>
        </is>
      </c>
      <c r="D70" s="2" t="inlineStr">
        <is>
          <t>TOMAS BARRERA DIAZ</t>
        </is>
      </c>
      <c r="E70" s="2" t="inlineStr">
        <is>
          <t>1141360985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111001800635</t>
        </is>
      </c>
      <c r="C71" s="2" t="inlineStr">
        <is>
          <t>COLEGIO EL NOGAL (IED)</t>
        </is>
      </c>
      <c r="D71" s="2" t="inlineStr">
        <is>
          <t>VALERY SOFIA BETANCOURT BETANCUR</t>
        </is>
      </c>
      <c r="E71" s="2" t="inlineStr">
        <is>
          <t>1028793031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4" t="inlineStr">
        <is>
          <t>INCORRECTO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/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111001800635</t>
        </is>
      </c>
      <c r="C72" s="2" t="inlineStr">
        <is>
          <t>COLEGIO EL NOGAL (IED)</t>
        </is>
      </c>
      <c r="D72" s="2" t="inlineStr">
        <is>
          <t>ANGEL DAVID BONILLA HUERTAS</t>
        </is>
      </c>
      <c r="E72" s="2" t="inlineStr">
        <is>
          <t>1025560727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/>
      <c r="AJ72" s="4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111001800635</t>
        </is>
      </c>
      <c r="C73" s="2" t="inlineStr">
        <is>
          <t>COLEGIO EL NOGAL (IED)</t>
        </is>
      </c>
      <c r="D73" s="2" t="inlineStr">
        <is>
          <t>ERICK SAMUEL CAPERA GORDILLO</t>
        </is>
      </c>
      <c r="E73" s="2" t="inlineStr">
        <is>
          <t>1029296582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C</t>
        </is>
      </c>
      <c r="AH73" s="4" t="inlineStr">
        <is>
          <t>INCORRECTO</t>
        </is>
      </c>
      <c r="AI73" s="2" t="inlineStr"/>
      <c r="AJ73" s="4" t="inlineStr">
        <is>
          <t>INCORRECTO</t>
        </is>
      </c>
      <c r="AK73" s="2" t="inlineStr">
        <is>
          <t>C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111001800635</t>
        </is>
      </c>
      <c r="C74" s="2" t="inlineStr">
        <is>
          <t>COLEGIO EL NOGAL (IED)</t>
        </is>
      </c>
      <c r="D74" s="2" t="inlineStr">
        <is>
          <t>SAMUEL JERONIMO CARRILLO VARGAS</t>
        </is>
      </c>
      <c r="E74" s="2" t="inlineStr">
        <is>
          <t>1023412100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D</t>
        </is>
      </c>
      <c r="AD74" s="4" t="inlineStr">
        <is>
          <t>INCORRECTO</t>
        </is>
      </c>
      <c r="AE74" s="2" t="inlineStr">
        <is>
          <t>A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111001800635</t>
        </is>
      </c>
      <c r="C75" s="2" t="inlineStr">
        <is>
          <t>COLEGIO EL NOGAL (IED)</t>
        </is>
      </c>
      <c r="D75" s="2" t="inlineStr">
        <is>
          <t>IAN SANTIAGO DELGADO CASCAVITA</t>
        </is>
      </c>
      <c r="E75" s="2" t="inlineStr">
        <is>
          <t>1011109501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111001800635</t>
        </is>
      </c>
      <c r="C76" s="2" t="inlineStr">
        <is>
          <t>COLEGIO EL NOGAL (IED)</t>
        </is>
      </c>
      <c r="D76" s="2" t="inlineStr">
        <is>
          <t>VALERIE DELGADILLO LEON</t>
        </is>
      </c>
      <c r="E76" s="2" t="inlineStr">
        <is>
          <t>1025561873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A</t>
        </is>
      </c>
      <c r="AH76" s="3" t="inlineStr">
        <is>
          <t>CORRECTO</t>
        </is>
      </c>
      <c r="AI76" s="2" t="inlineStr"/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111001800635</t>
        </is>
      </c>
      <c r="C77" s="2" t="inlineStr">
        <is>
          <t>COLEGIO EL NOGAL (IED)</t>
        </is>
      </c>
      <c r="D77" s="2" t="inlineStr">
        <is>
          <t>IAN SAMUEL CRUZ PACHON</t>
        </is>
      </c>
      <c r="E77" s="2" t="inlineStr">
        <is>
          <t>1023976632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A</t>
        </is>
      </c>
      <c r="AH77" s="3" t="inlineStr">
        <is>
          <t>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111001800635</t>
        </is>
      </c>
      <c r="C78" s="2" t="inlineStr">
        <is>
          <t>COLEGIO EL NOGAL (IED)</t>
        </is>
      </c>
      <c r="D78" s="2" t="inlineStr">
        <is>
          <t>JERONIMO CUERVO DUQUE</t>
        </is>
      </c>
      <c r="E78" s="2" t="inlineStr">
        <is>
          <t>1025561669</t>
        </is>
      </c>
      <c r="F78" s="2" t="n">
        <v>3</v>
      </c>
      <c r="G78" s="2" t="n">
        <v>301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B</t>
        </is>
      </c>
      <c r="AF78" s="3" t="inlineStr">
        <is>
          <t>CORRECTO</t>
        </is>
      </c>
      <c r="AG78" s="2" t="inlineStr">
        <is>
          <t>A</t>
        </is>
      </c>
      <c r="AH78" s="3" t="inlineStr">
        <is>
          <t>CORRECTO</t>
        </is>
      </c>
      <c r="AI78" s="2" t="inlineStr"/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111001800635</t>
        </is>
      </c>
      <c r="C79" s="2" t="inlineStr">
        <is>
          <t>COLEGIO EL NOGAL (IED)</t>
        </is>
      </c>
      <c r="D79" s="2" t="inlineStr">
        <is>
          <t>JEREMY JOSUE GARCIA JUEZ</t>
        </is>
      </c>
      <c r="E79" s="2" t="inlineStr">
        <is>
          <t>1024603579</t>
        </is>
      </c>
      <c r="F79" s="2" t="n">
        <v>3</v>
      </c>
      <c r="G79" s="2" t="n">
        <v>301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A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A</t>
        </is>
      </c>
      <c r="AL79" s="3" t="inlineStr">
        <is>
          <t>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111001800635</t>
        </is>
      </c>
      <c r="C80" s="2" t="inlineStr">
        <is>
          <t>COLEGIO EL NOGAL (IED)</t>
        </is>
      </c>
      <c r="D80" s="2" t="inlineStr">
        <is>
          <t>LAURA ISABELLA GAVIRIA RODRIGUEZ</t>
        </is>
      </c>
      <c r="E80" s="2" t="inlineStr">
        <is>
          <t>1024599597</t>
        </is>
      </c>
      <c r="F80" s="2" t="n">
        <v>3</v>
      </c>
      <c r="G80" s="2" t="n">
        <v>301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D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111001800635</t>
        </is>
      </c>
      <c r="C81" s="2" t="inlineStr">
        <is>
          <t>COLEGIO EL NOGAL (IED)</t>
        </is>
      </c>
      <c r="D81" s="2" t="inlineStr">
        <is>
          <t>IAN GIL OLAYA</t>
        </is>
      </c>
      <c r="E81" s="2" t="inlineStr">
        <is>
          <t>1023413374</t>
        </is>
      </c>
      <c r="F81" s="2" t="n">
        <v>3</v>
      </c>
      <c r="G81" s="2" t="n">
        <v>301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C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C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A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D</t>
        </is>
      </c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  <row r="82">
      <c r="A82" s="2" t="inlineStr">
        <is>
          <t>TRATADO</t>
        </is>
      </c>
      <c r="B82" s="2" t="inlineStr">
        <is>
          <t>111001800635</t>
        </is>
      </c>
      <c r="C82" s="2" t="inlineStr">
        <is>
          <t>COLEGIO EL NOGAL (IED)</t>
        </is>
      </c>
      <c r="D82" s="2" t="inlineStr">
        <is>
          <t>BRANDON FELIPE GIRAL PABON</t>
        </is>
      </c>
      <c r="E82" s="2" t="inlineStr">
        <is>
          <t>1023413883</t>
        </is>
      </c>
      <c r="F82" s="2" t="n">
        <v>3</v>
      </c>
      <c r="G82" s="2" t="n">
        <v>301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C</t>
        </is>
      </c>
      <c r="X82" s="3" t="inlineStr">
        <is>
          <t>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C</t>
        </is>
      </c>
      <c r="AH82" s="4" t="inlineStr">
        <is>
          <t>INCORRECTO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D</t>
        </is>
      </c>
      <c r="AL82" s="4" t="inlineStr">
        <is>
          <t>INCORRECTO</t>
        </is>
      </c>
      <c r="AM82" s="5">
        <f>COUNTIF(J82:AL82,"CORRECTO")</f>
        <v/>
      </c>
      <c r="AN82" s="5">
        <f>COUNTIF(J82:AL82,"INCORRECTO")</f>
        <v/>
      </c>
      <c r="AO82" s="5" t="n">
        <v>15</v>
      </c>
      <c r="AP82" s="6">
        <f>AM82/AO82</f>
        <v/>
      </c>
    </row>
    <row r="83">
      <c r="A83" s="2" t="inlineStr">
        <is>
          <t>TRATADO</t>
        </is>
      </c>
      <c r="B83" s="2" t="inlineStr">
        <is>
          <t>111001800635</t>
        </is>
      </c>
      <c r="C83" s="2" t="inlineStr">
        <is>
          <t>COLEGIO EL NOGAL (IED)</t>
        </is>
      </c>
      <c r="D83" s="2" t="inlineStr">
        <is>
          <t>JUAN JOSE MENDOZA HERNANDEZ</t>
        </is>
      </c>
      <c r="E83" s="2" t="inlineStr">
        <is>
          <t>1023411722</t>
        </is>
      </c>
      <c r="F83" s="2" t="n">
        <v>3</v>
      </c>
      <c r="G83" s="2" t="n">
        <v>301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B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3" t="inlineStr">
        <is>
          <t>CORRECTO</t>
        </is>
      </c>
      <c r="AG83" s="2" t="inlineStr">
        <is>
          <t>A</t>
        </is>
      </c>
      <c r="AH83" s="3" t="inlineStr">
        <is>
          <t>CORRECTO</t>
        </is>
      </c>
      <c r="AI83" s="2" t="inlineStr">
        <is>
          <t>A</t>
        </is>
      </c>
      <c r="AJ83" s="4" t="inlineStr">
        <is>
          <t>INCORRECTO</t>
        </is>
      </c>
      <c r="AK83" s="2" t="inlineStr">
        <is>
          <t>D</t>
        </is>
      </c>
      <c r="AL83" s="4" t="inlineStr">
        <is>
          <t>INCORRECTO</t>
        </is>
      </c>
      <c r="AM83" s="5">
        <f>COUNTIF(J83:AL83,"CORRECTO")</f>
        <v/>
      </c>
      <c r="AN83" s="5">
        <f>COUNTIF(J83:AL83,"INCORRECTO")</f>
        <v/>
      </c>
      <c r="AO83" s="5" t="n">
        <v>15</v>
      </c>
      <c r="AP83" s="6">
        <f>AM83/AO83</f>
        <v/>
      </c>
    </row>
    <row r="84">
      <c r="A84" s="2" t="inlineStr">
        <is>
          <t>TRATADO</t>
        </is>
      </c>
      <c r="B84" s="2" t="inlineStr">
        <is>
          <t>111001800635</t>
        </is>
      </c>
      <c r="C84" s="2" t="inlineStr">
        <is>
          <t>COLEGIO EL NOGAL (IED)</t>
        </is>
      </c>
      <c r="D84" s="2" t="inlineStr">
        <is>
          <t>HARVI SAMUEL LOPEZ VILLAIZAN</t>
        </is>
      </c>
      <c r="E84" s="2" t="inlineStr">
        <is>
          <t>1012924320</t>
        </is>
      </c>
      <c r="F84" s="2" t="n">
        <v>3</v>
      </c>
      <c r="G84" s="2" t="n">
        <v>301</v>
      </c>
      <c r="H84" s="2" t="inlineStr">
        <is>
          <t>LENGUAJE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C</t>
        </is>
      </c>
      <c r="V84" s="3" t="inlineStr">
        <is>
          <t>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C</t>
        </is>
      </c>
      <c r="AB84" s="3" t="inlineStr">
        <is>
          <t>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A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D</t>
        </is>
      </c>
      <c r="AL84" s="4" t="inlineStr">
        <is>
          <t>INCORRECTO</t>
        </is>
      </c>
      <c r="AM84" s="5">
        <f>COUNTIF(J84:AL84,"CORRECTO")</f>
        <v/>
      </c>
      <c r="AN84" s="5">
        <f>COUNTIF(J84:AL84,"INCORRECTO")</f>
        <v/>
      </c>
      <c r="AO84" s="5" t="n">
        <v>15</v>
      </c>
      <c r="AP84" s="6">
        <f>AM84/AO84</f>
        <v/>
      </c>
    </row>
    <row r="85">
      <c r="A85" s="2" t="inlineStr">
        <is>
          <t>TRATADO</t>
        </is>
      </c>
      <c r="B85" s="2" t="inlineStr">
        <is>
          <t>111001800635</t>
        </is>
      </c>
      <c r="C85" s="2" t="inlineStr">
        <is>
          <t>COLEGIO EL NOGAL (IED)</t>
        </is>
      </c>
      <c r="D85" s="2" t="inlineStr">
        <is>
          <t>MARTIN JOEL LANCHEROS CARVAJAL</t>
        </is>
      </c>
      <c r="E85" s="2" t="inlineStr">
        <is>
          <t>1024597538</t>
        </is>
      </c>
      <c r="F85" s="2" t="n">
        <v>3</v>
      </c>
      <c r="G85" s="2" t="n">
        <v>301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C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A</t>
        </is>
      </c>
      <c r="AH85" s="3" t="inlineStr">
        <is>
          <t>CORRECTO</t>
        </is>
      </c>
      <c r="AI85" s="2" t="inlineStr">
        <is>
          <t>A</t>
        </is>
      </c>
      <c r="AJ85" s="4" t="inlineStr">
        <is>
          <t>INCORRECTO</t>
        </is>
      </c>
      <c r="AK85" s="2" t="inlineStr">
        <is>
          <t>A</t>
        </is>
      </c>
      <c r="AL85" s="3" t="inlineStr">
        <is>
          <t>CORRECTO</t>
        </is>
      </c>
      <c r="AM85" s="5">
        <f>COUNTIF(J85:AL85,"CORRECTO")</f>
        <v/>
      </c>
      <c r="AN85" s="5">
        <f>COUNTIF(J85:AL85,"INCORRECTO")</f>
        <v/>
      </c>
      <c r="AO85" s="5" t="n">
        <v>15</v>
      </c>
      <c r="AP85" s="6">
        <f>AM85/AO85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2026-06-18T22:06:46Z</dcterms:created>
  <dcterms:modified xmlns:dcterms="http://purl.org/dc/terms/" xmlns:xsi="http://www.w3.org/2001/XMLSchema-instance" xsi:type="dcterms:W3CDTF">2026-06-18T22:06:46Z</dcterms:modified>
</cp:coreProperties>
</file>