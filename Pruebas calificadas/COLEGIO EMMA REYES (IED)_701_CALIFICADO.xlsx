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111001800554</t>
        </is>
      </c>
      <c r="C2" s="2" t="inlineStr">
        <is>
          <t>COLEGIO EMMA REYES (IED)</t>
        </is>
      </c>
      <c r="D2" s="2" t="inlineStr">
        <is>
          <t>ISABELLA SANCHEZ RODRIGUEZ</t>
        </is>
      </c>
      <c r="E2" s="2" t="inlineStr">
        <is>
          <t>1141343973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4">
        <f>COUNTIF(J2:AV2,"CORRECTO")</f>
        <v/>
      </c>
      <c r="AX2" s="4">
        <f>COUNTIF(J2:AV2,"INCORRECTO")</f>
        <v/>
      </c>
      <c r="AY2" s="4" t="n">
        <v>20</v>
      </c>
      <c r="AZ2" s="5">
        <f>AW2/AY2</f>
        <v/>
      </c>
    </row>
    <row r="3">
      <c r="A3" s="2" t="inlineStr">
        <is>
          <t>TRATADO</t>
        </is>
      </c>
      <c r="B3" s="2" t="inlineStr">
        <is>
          <t>111001800554</t>
        </is>
      </c>
      <c r="C3" s="2" t="inlineStr">
        <is>
          <t>COLEGIO EMMA REYES (IED)</t>
        </is>
      </c>
      <c r="D3" s="2" t="inlineStr">
        <is>
          <t>MARIA CAMILA VARGAS GONZALEZ</t>
        </is>
      </c>
      <c r="E3" s="2" t="inlineStr">
        <is>
          <t>1027290290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4">
        <f>COUNTIF(J3:AV3,"CORRECTO")</f>
        <v/>
      </c>
      <c r="AX3" s="4">
        <f>COUNTIF(J3:AV3,"INCORRECTO")</f>
        <v/>
      </c>
      <c r="AY3" s="4" t="n">
        <v>20</v>
      </c>
      <c r="AZ3" s="5">
        <f>AW3/AY3</f>
        <v/>
      </c>
    </row>
    <row r="4">
      <c r="A4" s="2" t="inlineStr">
        <is>
          <t>TRATADO</t>
        </is>
      </c>
      <c r="B4" s="2" t="inlineStr">
        <is>
          <t>111001800554</t>
        </is>
      </c>
      <c r="C4" s="2" t="inlineStr">
        <is>
          <t>COLEGIO EMMA REYES (IED)</t>
        </is>
      </c>
      <c r="D4" s="2" t="inlineStr">
        <is>
          <t>MATEO CRUZ REYES</t>
        </is>
      </c>
      <c r="E4" s="2" t="inlineStr">
        <is>
          <t>1097123955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6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4">
        <f>COUNTIF(J4:AV4,"CORRECTO")</f>
        <v/>
      </c>
      <c r="AX4" s="4">
        <f>COUNTIF(J4:AV4,"INCORRECTO")</f>
        <v/>
      </c>
      <c r="AY4" s="4" t="n">
        <v>20</v>
      </c>
      <c r="AZ4" s="5">
        <f>AW4/AY4</f>
        <v/>
      </c>
    </row>
    <row r="5">
      <c r="A5" s="2" t="inlineStr">
        <is>
          <t>TRATADO</t>
        </is>
      </c>
      <c r="B5" s="2" t="inlineStr">
        <is>
          <t>111001800554</t>
        </is>
      </c>
      <c r="C5" s="2" t="inlineStr">
        <is>
          <t>COLEGIO EMMA REYES (IED)</t>
        </is>
      </c>
      <c r="D5" s="2" t="inlineStr">
        <is>
          <t>WILLIAM MOISES UPARELA ROJAS</t>
        </is>
      </c>
      <c r="E5" s="2" t="inlineStr">
        <is>
          <t>1030625416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D</t>
        </is>
      </c>
      <c r="L5" s="6" t="inlineStr">
        <is>
          <t>INCORRECTO</t>
        </is>
      </c>
      <c r="M5" s="2" t="inlineStr">
        <is>
          <t>D</t>
        </is>
      </c>
      <c r="N5" s="6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C</t>
        </is>
      </c>
      <c r="V5" s="6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6" t="inlineStr">
        <is>
          <t>INCORRECTO</t>
        </is>
      </c>
      <c r="AE5" s="2" t="inlineStr">
        <is>
          <t>B</t>
        </is>
      </c>
      <c r="AF5" s="6" t="inlineStr">
        <is>
          <t>INCORRECTO</t>
        </is>
      </c>
      <c r="AG5" s="2" t="inlineStr">
        <is>
          <t>B</t>
        </is>
      </c>
      <c r="AH5" s="6" t="inlineStr">
        <is>
          <t>INCORRECTO</t>
        </is>
      </c>
      <c r="AI5" s="2" t="inlineStr">
        <is>
          <t>B</t>
        </is>
      </c>
      <c r="AJ5" s="6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6" t="inlineStr">
        <is>
          <t>INCORRECTO</t>
        </is>
      </c>
      <c r="AO5" s="2" t="inlineStr">
        <is>
          <t>D</t>
        </is>
      </c>
      <c r="AP5" s="6" t="inlineStr">
        <is>
          <t>INCORRECTO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A</t>
        </is>
      </c>
      <c r="AV5" s="6" t="inlineStr">
        <is>
          <t>INCORRECTO</t>
        </is>
      </c>
      <c r="AW5" s="4">
        <f>COUNTIF(J5:AV5,"CORRECTO")</f>
        <v/>
      </c>
      <c r="AX5" s="4">
        <f>COUNTIF(J5:AV5,"INCORRECTO")</f>
        <v/>
      </c>
      <c r="AY5" s="4" t="n">
        <v>20</v>
      </c>
      <c r="AZ5" s="5">
        <f>AW5/AY5</f>
        <v/>
      </c>
    </row>
    <row r="6">
      <c r="A6" s="2" t="inlineStr">
        <is>
          <t>TRATADO</t>
        </is>
      </c>
      <c r="B6" s="2" t="inlineStr">
        <is>
          <t>111001800554</t>
        </is>
      </c>
      <c r="C6" s="2" t="inlineStr">
        <is>
          <t>COLEGIO EMMA REYES (IED)</t>
        </is>
      </c>
      <c r="D6" s="2" t="inlineStr">
        <is>
          <t>WILLIAN ESTIBEN BERNAL BERNAL</t>
        </is>
      </c>
      <c r="E6" s="2" t="inlineStr">
        <is>
          <t>1050672675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6" t="inlineStr">
        <is>
          <t>INCORRECTO</t>
        </is>
      </c>
      <c r="Q6" s="2" t="inlineStr">
        <is>
          <t>A</t>
        </is>
      </c>
      <c r="R6" s="6" t="inlineStr">
        <is>
          <t>INCORRECTO</t>
        </is>
      </c>
      <c r="S6" s="2" t="inlineStr">
        <is>
          <t>D</t>
        </is>
      </c>
      <c r="T6" s="6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6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6" t="inlineStr">
        <is>
          <t>INCORRECTO</t>
        </is>
      </c>
      <c r="AC6" s="2" t="inlineStr">
        <is>
          <t>B</t>
        </is>
      </c>
      <c r="AD6" s="6" t="inlineStr">
        <is>
          <t>INCORRECTO</t>
        </is>
      </c>
      <c r="AE6" s="2" t="inlineStr">
        <is>
          <t>D</t>
        </is>
      </c>
      <c r="AF6" s="6" t="inlineStr">
        <is>
          <t>INCORRECTO</t>
        </is>
      </c>
      <c r="AG6" s="2" t="inlineStr">
        <is>
          <t>B</t>
        </is>
      </c>
      <c r="AH6" s="6" t="inlineStr">
        <is>
          <t>INCORRECTO</t>
        </is>
      </c>
      <c r="AI6" s="2" t="inlineStr">
        <is>
          <t>D</t>
        </is>
      </c>
      <c r="AJ6" s="6" t="inlineStr">
        <is>
          <t>INCORRECTO</t>
        </is>
      </c>
      <c r="AK6" s="2" t="inlineStr">
        <is>
          <t>B</t>
        </is>
      </c>
      <c r="AL6" s="6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6" t="inlineStr">
        <is>
          <t>INCORRECTO</t>
        </is>
      </c>
      <c r="AQ6" s="2" t="inlineStr">
        <is>
          <t>A</t>
        </is>
      </c>
      <c r="AR6" s="6" t="inlineStr">
        <is>
          <t>INCORRECTO</t>
        </is>
      </c>
      <c r="AS6" s="2" t="inlineStr">
        <is>
          <t>A</t>
        </is>
      </c>
      <c r="AT6" s="6" t="inlineStr">
        <is>
          <t>INCORRECTO</t>
        </is>
      </c>
      <c r="AU6" s="2" t="inlineStr">
        <is>
          <t>B</t>
        </is>
      </c>
      <c r="AV6" s="6" t="inlineStr">
        <is>
          <t>INCORRECTO</t>
        </is>
      </c>
      <c r="AW6" s="4">
        <f>COUNTIF(J6:AV6,"CORRECTO")</f>
        <v/>
      </c>
      <c r="AX6" s="4">
        <f>COUNTIF(J6:AV6,"INCORRECTO")</f>
        <v/>
      </c>
      <c r="AY6" s="4" t="n">
        <v>20</v>
      </c>
      <c r="AZ6" s="5">
        <f>AW6/AY6</f>
        <v/>
      </c>
    </row>
    <row r="7">
      <c r="A7" s="2" t="inlineStr">
        <is>
          <t>TRATADO</t>
        </is>
      </c>
      <c r="B7" s="2" t="inlineStr">
        <is>
          <t>111001800554</t>
        </is>
      </c>
      <c r="C7" s="2" t="inlineStr">
        <is>
          <t>COLEGIO EMMA REYES (IED)</t>
        </is>
      </c>
      <c r="D7" s="2" t="inlineStr">
        <is>
          <t>DANNA NICOLLE APONTE DUQUE</t>
        </is>
      </c>
      <c r="E7" s="2" t="inlineStr">
        <is>
          <t>1013665912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D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4">
        <f>COUNTIF(J7:AV7,"CORRECTO")</f>
        <v/>
      </c>
      <c r="AX7" s="4">
        <f>COUNTIF(J7:AV7,"INCORRECTO")</f>
        <v/>
      </c>
      <c r="AY7" s="4" t="n">
        <v>20</v>
      </c>
      <c r="AZ7" s="5">
        <f>AW7/AY7</f>
        <v/>
      </c>
    </row>
    <row r="8">
      <c r="A8" s="2" t="inlineStr">
        <is>
          <t>TRATADO</t>
        </is>
      </c>
      <c r="B8" s="2" t="inlineStr">
        <is>
          <t>111001800554</t>
        </is>
      </c>
      <c r="C8" s="2" t="inlineStr">
        <is>
          <t>COLEGIO EMMA REYES (IED)</t>
        </is>
      </c>
      <c r="D8" s="2" t="inlineStr">
        <is>
          <t>IAN NICOLAS VARGAS GARCIA</t>
        </is>
      </c>
      <c r="E8" s="2" t="inlineStr">
        <is>
          <t>1146130328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B</t>
        </is>
      </c>
      <c r="J8" s="6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6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4">
        <f>COUNTIF(J8:AV8,"CORRECTO")</f>
        <v/>
      </c>
      <c r="AX8" s="4">
        <f>COUNTIF(J8:AV8,"INCORRECTO")</f>
        <v/>
      </c>
      <c r="AY8" s="4" t="n">
        <v>20</v>
      </c>
      <c r="AZ8" s="5">
        <f>AW8/AY8</f>
        <v/>
      </c>
    </row>
    <row r="9">
      <c r="A9" s="2" t="inlineStr">
        <is>
          <t>TRATADO</t>
        </is>
      </c>
      <c r="B9" s="2" t="inlineStr">
        <is>
          <t>111001800554</t>
        </is>
      </c>
      <c r="C9" s="2" t="inlineStr">
        <is>
          <t>COLEGIO EMMA REYES (IED)</t>
        </is>
      </c>
      <c r="D9" s="2" t="inlineStr">
        <is>
          <t>GABRIELLA PALMERA VASQUEZ</t>
        </is>
      </c>
      <c r="E9" s="2" t="inlineStr">
        <is>
          <t>1147488830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6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6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4">
        <f>COUNTIF(J9:AV9,"CORRECTO")</f>
        <v/>
      </c>
      <c r="AX9" s="4">
        <f>COUNTIF(J9:AV9,"INCORRECTO")</f>
        <v/>
      </c>
      <c r="AY9" s="4" t="n">
        <v>20</v>
      </c>
      <c r="AZ9" s="5">
        <f>AW9/AY9</f>
        <v/>
      </c>
    </row>
    <row r="10">
      <c r="A10" s="2" t="inlineStr">
        <is>
          <t>TRATADO</t>
        </is>
      </c>
      <c r="B10" s="2" t="inlineStr">
        <is>
          <t>111001800554</t>
        </is>
      </c>
      <c r="C10" s="2" t="inlineStr">
        <is>
          <t>COLEGIO EMMA REYES (IED)</t>
        </is>
      </c>
      <c r="D10" s="2" t="inlineStr">
        <is>
          <t>JACOBO ALBARRACIN CAMELO</t>
        </is>
      </c>
      <c r="E10" s="2" t="inlineStr">
        <is>
          <t>1022410631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6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4">
        <f>COUNTIF(J10:AV10,"CORRECTO")</f>
        <v/>
      </c>
      <c r="AX10" s="4">
        <f>COUNTIF(J10:AV10,"INCORRECTO")</f>
        <v/>
      </c>
      <c r="AY10" s="4" t="n">
        <v>20</v>
      </c>
      <c r="AZ10" s="5">
        <f>AW10/AY10</f>
        <v/>
      </c>
    </row>
    <row r="11">
      <c r="A11" s="2" t="inlineStr">
        <is>
          <t>TRATADO</t>
        </is>
      </c>
      <c r="B11" s="2" t="inlineStr">
        <is>
          <t>111001800554</t>
        </is>
      </c>
      <c r="C11" s="2" t="inlineStr">
        <is>
          <t>COLEGIO EMMA REYES (IED)</t>
        </is>
      </c>
      <c r="D11" s="2" t="inlineStr">
        <is>
          <t>SANTIAGO SANCHEZ CAMACHO</t>
        </is>
      </c>
      <c r="E11" s="2" t="inlineStr">
        <is>
          <t>1014996434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6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4">
        <f>COUNTIF(J11:AV11,"CORRECTO")</f>
        <v/>
      </c>
      <c r="AX11" s="4">
        <f>COUNTIF(J11:AV11,"INCORRECTO")</f>
        <v/>
      </c>
      <c r="AY11" s="4" t="n">
        <v>20</v>
      </c>
      <c r="AZ11" s="5">
        <f>AW11/AY11</f>
        <v/>
      </c>
    </row>
    <row r="12">
      <c r="A12" s="2" t="inlineStr">
        <is>
          <t>TRATADO</t>
        </is>
      </c>
      <c r="B12" s="2" t="inlineStr">
        <is>
          <t>111001800554</t>
        </is>
      </c>
      <c r="C12" s="2" t="inlineStr">
        <is>
          <t>COLEGIO EMMA REYES (IED)</t>
        </is>
      </c>
      <c r="D12" s="2" t="inlineStr">
        <is>
          <t>JUAN SEBASTAN PEREZ MALDONADO</t>
        </is>
      </c>
      <c r="E12" s="2" t="inlineStr">
        <is>
          <t>1011327267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6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6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6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6" t="inlineStr">
        <is>
          <t>INCORRECTO</t>
        </is>
      </c>
      <c r="AM12" s="2" t="inlineStr">
        <is>
          <t>A</t>
        </is>
      </c>
      <c r="AN12" s="6" t="inlineStr">
        <is>
          <t>INCORRECTO</t>
        </is>
      </c>
      <c r="AO12" s="2" t="inlineStr">
        <is>
          <t>C</t>
        </is>
      </c>
      <c r="AP12" s="6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B</t>
        </is>
      </c>
      <c r="AT12" s="6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4">
        <f>COUNTIF(J12:AV12,"CORRECTO")</f>
        <v/>
      </c>
      <c r="AX12" s="4">
        <f>COUNTIF(J12:AV12,"INCORRECTO")</f>
        <v/>
      </c>
      <c r="AY12" s="4" t="n">
        <v>20</v>
      </c>
      <c r="AZ12" s="5">
        <f>AW12/AY12</f>
        <v/>
      </c>
    </row>
    <row r="13">
      <c r="A13" s="2" t="inlineStr">
        <is>
          <t>TRATADO</t>
        </is>
      </c>
      <c r="B13" s="2" t="inlineStr">
        <is>
          <t>111001800554</t>
        </is>
      </c>
      <c r="C13" s="2" t="inlineStr">
        <is>
          <t>COLEGIO EMMA REYES (IED)</t>
        </is>
      </c>
      <c r="D13" s="2" t="inlineStr">
        <is>
          <t>LAURA CASTAÑEDA MARTINEZ</t>
        </is>
      </c>
      <c r="E13" s="2" t="inlineStr">
        <is>
          <t>1220216165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D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6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4">
        <f>COUNTIF(J13:AV13,"CORRECTO")</f>
        <v/>
      </c>
      <c r="AX13" s="4">
        <f>COUNTIF(J13:AV13,"INCORRECTO")</f>
        <v/>
      </c>
      <c r="AY13" s="4" t="n">
        <v>20</v>
      </c>
      <c r="AZ13" s="5">
        <f>AW13/AY13</f>
        <v/>
      </c>
    </row>
    <row r="14">
      <c r="A14" s="2" t="inlineStr">
        <is>
          <t>TRATADO</t>
        </is>
      </c>
      <c r="B14" s="2" t="inlineStr">
        <is>
          <t>111001800554</t>
        </is>
      </c>
      <c r="C14" s="2" t="inlineStr">
        <is>
          <t>COLEGIO EMMA REYES (IED)</t>
        </is>
      </c>
      <c r="D14" s="2" t="inlineStr">
        <is>
          <t>MARIANA RUIZ OCHOA</t>
        </is>
      </c>
      <c r="E14" s="2" t="inlineStr">
        <is>
          <t>1030653046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6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6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6" t="inlineStr">
        <is>
          <t>INCORRECTO</t>
        </is>
      </c>
      <c r="AE14" s="2" t="inlineStr">
        <is>
          <t>A</t>
        </is>
      </c>
      <c r="AF14" s="6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6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4">
        <f>COUNTIF(J14:AV14,"CORRECTO")</f>
        <v/>
      </c>
      <c r="AX14" s="4">
        <f>COUNTIF(J14:AV14,"INCORRECTO")</f>
        <v/>
      </c>
      <c r="AY14" s="4" t="n">
        <v>20</v>
      </c>
      <c r="AZ14" s="5">
        <f>AW14/AY14</f>
        <v/>
      </c>
    </row>
    <row r="15">
      <c r="A15" s="2" t="inlineStr">
        <is>
          <t>TRATADO</t>
        </is>
      </c>
      <c r="B15" s="2" t="inlineStr">
        <is>
          <t>111001800554</t>
        </is>
      </c>
      <c r="C15" s="2" t="inlineStr">
        <is>
          <t>COLEGIO EMMA REYES (IED)</t>
        </is>
      </c>
      <c r="D15" s="2" t="inlineStr">
        <is>
          <t>GABRIELA CASTAÑEDA MARTINEZ</t>
        </is>
      </c>
      <c r="E15" s="2" t="inlineStr">
        <is>
          <t>1220216164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6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4">
        <f>COUNTIF(J15:AV15,"CORRECTO")</f>
        <v/>
      </c>
      <c r="AX15" s="4">
        <f>COUNTIF(J15:AV15,"INCORRECTO")</f>
        <v/>
      </c>
      <c r="AY15" s="4" t="n">
        <v>20</v>
      </c>
      <c r="AZ15" s="5">
        <f>AW15/AY15</f>
        <v/>
      </c>
    </row>
    <row r="16">
      <c r="A16" s="2" t="inlineStr">
        <is>
          <t>TRATADO</t>
        </is>
      </c>
      <c r="B16" s="2" t="inlineStr">
        <is>
          <t>111001800554</t>
        </is>
      </c>
      <c r="C16" s="2" t="inlineStr">
        <is>
          <t>COLEGIO EMMA REYES (IED)</t>
        </is>
      </c>
      <c r="D16" s="2" t="inlineStr">
        <is>
          <t>ANDREA SOFIA RIVERO RODRIGUEZ</t>
        </is>
      </c>
      <c r="E16" s="2" t="inlineStr">
        <is>
          <t>1232590364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6" t="inlineStr">
        <is>
          <t>INCORRECTO</t>
        </is>
      </c>
      <c r="Q16" s="2" t="inlineStr">
        <is>
          <t>B</t>
        </is>
      </c>
      <c r="R16" s="6" t="inlineStr">
        <is>
          <t>INCORRECTO</t>
        </is>
      </c>
      <c r="S16" s="2" t="inlineStr">
        <is>
          <t>B</t>
        </is>
      </c>
      <c r="T16" s="6" t="inlineStr">
        <is>
          <t>INCORRECTO</t>
        </is>
      </c>
      <c r="U16" s="2" t="inlineStr">
        <is>
          <t>A</t>
        </is>
      </c>
      <c r="V16" s="6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6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6" t="inlineStr">
        <is>
          <t>INCORRECTO</t>
        </is>
      </c>
      <c r="AG16" s="2" t="inlineStr">
        <is>
          <t>B</t>
        </is>
      </c>
      <c r="AH16" s="6" t="inlineStr">
        <is>
          <t>INCORRECTO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B</t>
        </is>
      </c>
      <c r="AL16" s="6" t="inlineStr">
        <is>
          <t>INCORRECTO</t>
        </is>
      </c>
      <c r="AM16" s="2" t="inlineStr">
        <is>
          <t>A</t>
        </is>
      </c>
      <c r="AN16" s="6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C</t>
        </is>
      </c>
      <c r="AR16" s="6" t="inlineStr">
        <is>
          <t>INCORRECTO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D</t>
        </is>
      </c>
      <c r="AV16" s="6" t="inlineStr">
        <is>
          <t>INCORRECTO</t>
        </is>
      </c>
      <c r="AW16" s="4">
        <f>COUNTIF(J16:AV16,"CORRECTO")</f>
        <v/>
      </c>
      <c r="AX16" s="4">
        <f>COUNTIF(J16:AV16,"INCORRECTO")</f>
        <v/>
      </c>
      <c r="AY16" s="4" t="n">
        <v>20</v>
      </c>
      <c r="AZ16" s="5">
        <f>AW16/AY16</f>
        <v/>
      </c>
    </row>
    <row r="17">
      <c r="A17" s="2" t="inlineStr">
        <is>
          <t>TRATADO</t>
        </is>
      </c>
      <c r="B17" s="2" t="inlineStr">
        <is>
          <t>111001800554</t>
        </is>
      </c>
      <c r="C17" s="2" t="inlineStr">
        <is>
          <t>COLEGIO EMMA REYES (IED)</t>
        </is>
      </c>
      <c r="D17" s="2" t="inlineStr">
        <is>
          <t>MARIA SALOME HUERFANO CAVIEDES</t>
        </is>
      </c>
      <c r="E17" s="2" t="inlineStr">
        <is>
          <t>1013144626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6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4">
        <f>COUNTIF(J17:AV17,"CORRECTO")</f>
        <v/>
      </c>
      <c r="AX17" s="4">
        <f>COUNTIF(J17:AV17,"INCORRECTO")</f>
        <v/>
      </c>
      <c r="AY17" s="4" t="n">
        <v>20</v>
      </c>
      <c r="AZ17" s="5">
        <f>AW17/AY17</f>
        <v/>
      </c>
    </row>
    <row r="18">
      <c r="A18" s="2" t="inlineStr">
        <is>
          <t>TRATADO</t>
        </is>
      </c>
      <c r="B18" s="2" t="inlineStr">
        <is>
          <t>111001800554</t>
        </is>
      </c>
      <c r="C18" s="2" t="inlineStr">
        <is>
          <t>COLEGIO EMMA REYES (IED)</t>
        </is>
      </c>
      <c r="D18" s="2" t="inlineStr">
        <is>
          <t>SAMUEL FELIPE CRUZ VASQUEZ</t>
        </is>
      </c>
      <c r="E18" s="2" t="inlineStr">
        <is>
          <t>1146130003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B</t>
        </is>
      </c>
      <c r="J18" s="6" t="inlineStr">
        <is>
          <t>INCORRECTO</t>
        </is>
      </c>
      <c r="K18" s="2" t="inlineStr">
        <is>
          <t>D</t>
        </is>
      </c>
      <c r="L18" s="6" t="inlineStr">
        <is>
          <t>INCORRECTO</t>
        </is>
      </c>
      <c r="M18" s="2" t="inlineStr">
        <is>
          <t>A</t>
        </is>
      </c>
      <c r="N18" s="6" t="inlineStr">
        <is>
          <t>INCORRECTO</t>
        </is>
      </c>
      <c r="O18" s="2" t="inlineStr">
        <is>
          <t>D</t>
        </is>
      </c>
      <c r="P18" s="6" t="inlineStr">
        <is>
          <t>INCORRECTO</t>
        </is>
      </c>
      <c r="Q18" s="2" t="inlineStr">
        <is>
          <t>C</t>
        </is>
      </c>
      <c r="R18" s="6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6" t="inlineStr">
        <is>
          <t>INCORRECTO</t>
        </is>
      </c>
      <c r="W18" s="2" t="inlineStr">
        <is>
          <t>C</t>
        </is>
      </c>
      <c r="X18" s="6" t="inlineStr">
        <is>
          <t>INCORRECTO</t>
        </is>
      </c>
      <c r="Y18" s="2" t="inlineStr">
        <is>
          <t>A</t>
        </is>
      </c>
      <c r="Z18" s="6" t="inlineStr">
        <is>
          <t>INCORRECTO</t>
        </is>
      </c>
      <c r="AA18" s="2" t="inlineStr">
        <is>
          <t>A</t>
        </is>
      </c>
      <c r="AB18" s="6" t="inlineStr">
        <is>
          <t>INCORRECTO</t>
        </is>
      </c>
      <c r="AC18" s="2" t="inlineStr">
        <is>
          <t>D</t>
        </is>
      </c>
      <c r="AD18" s="6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B</t>
        </is>
      </c>
      <c r="AH18" s="6" t="inlineStr">
        <is>
          <t>INCORRECTO</t>
        </is>
      </c>
      <c r="AI18" s="2" t="inlineStr">
        <is>
          <t>B</t>
        </is>
      </c>
      <c r="AJ18" s="6" t="inlineStr">
        <is>
          <t>INCORRECTO</t>
        </is>
      </c>
      <c r="AK18" s="2" t="inlineStr">
        <is>
          <t>D</t>
        </is>
      </c>
      <c r="AL18" s="6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6" t="inlineStr">
        <is>
          <t>INCORRECTO</t>
        </is>
      </c>
      <c r="AS18" s="2" t="inlineStr">
        <is>
          <t>A</t>
        </is>
      </c>
      <c r="AT18" s="6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4">
        <f>COUNTIF(J18:AV18,"CORRECTO")</f>
        <v/>
      </c>
      <c r="AX18" s="4">
        <f>COUNTIF(J18:AV18,"INCORRECTO")</f>
        <v/>
      </c>
      <c r="AY18" s="4" t="n">
        <v>20</v>
      </c>
      <c r="AZ18" s="5">
        <f>AW18/AY18</f>
        <v/>
      </c>
    </row>
    <row r="19">
      <c r="A19" s="2" t="inlineStr">
        <is>
          <t>TRATADO</t>
        </is>
      </c>
      <c r="B19" s="2" t="inlineStr">
        <is>
          <t>111001800554</t>
        </is>
      </c>
      <c r="C19" s="2" t="inlineStr">
        <is>
          <t>COLEGIO EMMA REYES (IED)</t>
        </is>
      </c>
      <c r="D19" s="2" t="inlineStr">
        <is>
          <t>EMILY SOFIA BARRIOS BAYONA</t>
        </is>
      </c>
      <c r="E19" s="2" t="inlineStr">
        <is>
          <t>1034304961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C</t>
        </is>
      </c>
      <c r="L19" s="6" t="inlineStr">
        <is>
          <t>INCORRECTO</t>
        </is>
      </c>
      <c r="M19" s="2" t="inlineStr">
        <is>
          <t>B</t>
        </is>
      </c>
      <c r="N19" s="6" t="inlineStr">
        <is>
          <t>INCORRECTO</t>
        </is>
      </c>
      <c r="O19" s="2" t="inlineStr">
        <is>
          <t>D</t>
        </is>
      </c>
      <c r="P19" s="6" t="inlineStr">
        <is>
          <t>INCORRECTO</t>
        </is>
      </c>
      <c r="Q19" s="2" t="inlineStr">
        <is>
          <t>C</t>
        </is>
      </c>
      <c r="R19" s="6" t="inlineStr">
        <is>
          <t>INCORRECTO</t>
        </is>
      </c>
      <c r="S19" s="2" t="inlineStr">
        <is>
          <t>B</t>
        </is>
      </c>
      <c r="T19" s="6" t="inlineStr">
        <is>
          <t>INCORRECTO</t>
        </is>
      </c>
      <c r="U19" s="2" t="inlineStr">
        <is>
          <t>D</t>
        </is>
      </c>
      <c r="V19" s="6" t="inlineStr">
        <is>
          <t>INCORRECTO</t>
        </is>
      </c>
      <c r="W19" s="2" t="inlineStr">
        <is>
          <t>C</t>
        </is>
      </c>
      <c r="X19" s="6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/>
      <c r="AJ19" s="6" t="inlineStr">
        <is>
          <t>INCORRECTO</t>
        </is>
      </c>
      <c r="AK19" s="2" t="inlineStr">
        <is>
          <t>A</t>
        </is>
      </c>
      <c r="AL19" s="6" t="inlineStr">
        <is>
          <t>INCORRECTO</t>
        </is>
      </c>
      <c r="AM19" s="2" t="inlineStr">
        <is>
          <t>B</t>
        </is>
      </c>
      <c r="AN19" s="6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A</t>
        </is>
      </c>
      <c r="AV19" s="6" t="inlineStr">
        <is>
          <t>INCORRECTO</t>
        </is>
      </c>
      <c r="AW19" s="4">
        <f>COUNTIF(J19:AV19,"CORRECTO")</f>
        <v/>
      </c>
      <c r="AX19" s="4">
        <f>COUNTIF(J19:AV19,"INCORRECTO")</f>
        <v/>
      </c>
      <c r="AY19" s="4" t="n">
        <v>20</v>
      </c>
      <c r="AZ19" s="5">
        <f>AW19/AY19</f>
        <v/>
      </c>
    </row>
    <row r="20">
      <c r="A20" s="2" t="inlineStr">
        <is>
          <t>TRATADO</t>
        </is>
      </c>
      <c r="B20" s="2" t="inlineStr">
        <is>
          <t>111001800554</t>
        </is>
      </c>
      <c r="C20" s="2" t="inlineStr">
        <is>
          <t>COLEGIO EMMA REYES (IED)</t>
        </is>
      </c>
      <c r="D20" s="2" t="inlineStr">
        <is>
          <t>ANDREA VALENTINA RODRÍGUEZ ÁVILA</t>
        </is>
      </c>
      <c r="E20" s="2" t="inlineStr">
        <is>
          <t>1222204567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6" t="inlineStr">
        <is>
          <t>INCORRECTO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6" t="inlineStr">
        <is>
          <t>INCORRECTO</t>
        </is>
      </c>
      <c r="AQ20" s="2" t="inlineStr">
        <is>
          <t>A</t>
        </is>
      </c>
      <c r="AR20" s="6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4">
        <f>COUNTIF(J20:AV20,"CORRECTO")</f>
        <v/>
      </c>
      <c r="AX20" s="4">
        <f>COUNTIF(J20:AV20,"INCORRECTO")</f>
        <v/>
      </c>
      <c r="AY20" s="4" t="n">
        <v>20</v>
      </c>
      <c r="AZ20" s="5">
        <f>AW20/AY20</f>
        <v/>
      </c>
    </row>
    <row r="21">
      <c r="A21" s="2" t="inlineStr">
        <is>
          <t>TRATADO</t>
        </is>
      </c>
      <c r="B21" s="2" t="inlineStr">
        <is>
          <t>111001800554</t>
        </is>
      </c>
      <c r="C21" s="2" t="inlineStr">
        <is>
          <t>COLEGIO EMMA REYES (IED)</t>
        </is>
      </c>
      <c r="D21" s="2" t="inlineStr">
        <is>
          <t>LAURA ISABELLA RIOS VILLAMARIN</t>
        </is>
      </c>
      <c r="E21" s="2" t="inlineStr">
        <is>
          <t>1222206015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6" t="inlineStr">
        <is>
          <t>INCORRECTO</t>
        </is>
      </c>
      <c r="O21" s="2" t="inlineStr">
        <is>
          <t>C</t>
        </is>
      </c>
      <c r="P21" s="6" t="inlineStr">
        <is>
          <t>INCORRECTO</t>
        </is>
      </c>
      <c r="Q21" s="2" t="inlineStr">
        <is>
          <t>B</t>
        </is>
      </c>
      <c r="R21" s="6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6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6" t="inlineStr">
        <is>
          <t>INCORRECTO</t>
        </is>
      </c>
      <c r="AQ21" s="2" t="inlineStr">
        <is>
          <t>A</t>
        </is>
      </c>
      <c r="AR21" s="6" t="inlineStr">
        <is>
          <t>INCORRECTO</t>
        </is>
      </c>
      <c r="AS21" s="2" t="inlineStr">
        <is>
          <t>A</t>
        </is>
      </c>
      <c r="AT21" s="6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4">
        <f>COUNTIF(J21:AV21,"CORRECTO")</f>
        <v/>
      </c>
      <c r="AX21" s="4">
        <f>COUNTIF(J21:AV21,"INCORRECTO")</f>
        <v/>
      </c>
      <c r="AY21" s="4" t="n">
        <v>20</v>
      </c>
      <c r="AZ21" s="5">
        <f>AW21/AY21</f>
        <v/>
      </c>
    </row>
    <row r="22">
      <c r="A22" s="2" t="inlineStr">
        <is>
          <t>TRATADO</t>
        </is>
      </c>
      <c r="B22" s="2" t="inlineStr">
        <is>
          <t>111001800554</t>
        </is>
      </c>
      <c r="C22" s="2" t="inlineStr">
        <is>
          <t>COLEGIO EMMA REYES (IED)</t>
        </is>
      </c>
      <c r="D22" s="2" t="inlineStr">
        <is>
          <t>DANIEL JOSE RAMOS SALAZAR</t>
        </is>
      </c>
      <c r="E22" s="2" t="inlineStr">
        <is>
          <t>1018479786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C</t>
        </is>
      </c>
      <c r="L22" s="6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4">
        <f>COUNTIF(J22:AV22,"CORRECTO")</f>
        <v/>
      </c>
      <c r="AX22" s="4">
        <f>COUNTIF(J22:AV22,"INCORRECTO")</f>
        <v/>
      </c>
      <c r="AY22" s="4" t="n">
        <v>20</v>
      </c>
      <c r="AZ22" s="5">
        <f>AW22/AY22</f>
        <v/>
      </c>
    </row>
    <row r="23">
      <c r="A23" s="2" t="inlineStr">
        <is>
          <t>TRATADO</t>
        </is>
      </c>
      <c r="B23" s="2" t="inlineStr">
        <is>
          <t>111001800554</t>
        </is>
      </c>
      <c r="C23" s="2" t="inlineStr">
        <is>
          <t>COLEGIO EMMA REYES (IED)</t>
        </is>
      </c>
      <c r="D23" s="2" t="inlineStr">
        <is>
          <t>SARA SOFIA ORTIZ ROMERO</t>
        </is>
      </c>
      <c r="E23" s="2" t="inlineStr">
        <is>
          <t>1141340401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4">
        <f>COUNTIF(J23:AV23,"CORRECTO")</f>
        <v/>
      </c>
      <c r="AX23" s="4">
        <f>COUNTIF(J23:AV23,"INCORRECTO")</f>
        <v/>
      </c>
      <c r="AY23" s="4" t="n">
        <v>20</v>
      </c>
      <c r="AZ23" s="5">
        <f>AW23/AY23</f>
        <v/>
      </c>
    </row>
    <row r="24">
      <c r="A24" s="2" t="inlineStr">
        <is>
          <t>TRATADO</t>
        </is>
      </c>
      <c r="B24" s="2" t="inlineStr">
        <is>
          <t>111001800554</t>
        </is>
      </c>
      <c r="C24" s="2" t="inlineStr">
        <is>
          <t>COLEGIO EMMA REYES (IED)</t>
        </is>
      </c>
      <c r="D24" s="2" t="inlineStr">
        <is>
          <t>LIAH SAMANTHA MONTANEZ CHIRIBI</t>
        </is>
      </c>
      <c r="E24" s="2" t="inlineStr">
        <is>
          <t>1011230096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6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D</t>
        </is>
      </c>
      <c r="AV24" s="6" t="inlineStr">
        <is>
          <t>INCORRECTO</t>
        </is>
      </c>
      <c r="AW24" s="4">
        <f>COUNTIF(J24:AV24,"CORRECTO")</f>
        <v/>
      </c>
      <c r="AX24" s="4">
        <f>COUNTIF(J24:AV24,"INCORRECTO")</f>
        <v/>
      </c>
      <c r="AY24" s="4" t="n">
        <v>20</v>
      </c>
      <c r="AZ24" s="5">
        <f>AW24/AY24</f>
        <v/>
      </c>
    </row>
    <row r="25">
      <c r="A25" s="2" t="inlineStr">
        <is>
          <t>TRATADO</t>
        </is>
      </c>
      <c r="B25" s="2" t="inlineStr">
        <is>
          <t>111001800554</t>
        </is>
      </c>
      <c r="C25" s="2" t="inlineStr">
        <is>
          <t>COLEGIO EMMA REYES (IED)</t>
        </is>
      </c>
      <c r="D25" s="2" t="inlineStr">
        <is>
          <t>WILMARY VICTORIA PEREIRA MERCHAN</t>
        </is>
      </c>
      <c r="E25" s="2" t="inlineStr">
        <is>
          <t>6464142</t>
        </is>
      </c>
      <c r="F25" s="2" t="n">
        <v>7</v>
      </c>
      <c r="G25" s="2" t="n">
        <v>701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6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6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A</t>
        </is>
      </c>
      <c r="AF25" s="6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4">
        <f>COUNTIF(J25:AV25,"CORRECTO")</f>
        <v/>
      </c>
      <c r="AX25" s="4">
        <f>COUNTIF(J25:AV25,"INCORRECTO")</f>
        <v/>
      </c>
      <c r="AY25" s="4" t="n">
        <v>20</v>
      </c>
      <c r="AZ25" s="5">
        <f>AW25/AY25</f>
        <v/>
      </c>
    </row>
    <row r="26">
      <c r="A26" s="2" t="inlineStr">
        <is>
          <t>TRATADO</t>
        </is>
      </c>
      <c r="B26" s="2" t="inlineStr">
        <is>
          <t>111001800554</t>
        </is>
      </c>
      <c r="C26" s="2" t="inlineStr">
        <is>
          <t>COLEGIO EMMA REYES (IED)</t>
        </is>
      </c>
      <c r="D26" s="2" t="inlineStr">
        <is>
          <t>ISABELLA HERRAN CHAPARRO</t>
        </is>
      </c>
      <c r="E26" s="2" t="inlineStr">
        <is>
          <t>1030666627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C</t>
        </is>
      </c>
      <c r="J26" s="6" t="inlineStr">
        <is>
          <t>INCORRECTO</t>
        </is>
      </c>
      <c r="K26" s="2" t="inlineStr">
        <is>
          <t>C</t>
        </is>
      </c>
      <c r="L26" s="6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6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6" t="inlineStr">
        <is>
          <t>INCORRECTO</t>
        </is>
      </c>
      <c r="AS26" s="2" t="inlineStr">
        <is>
          <t>A</t>
        </is>
      </c>
      <c r="AT26" s="6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4">
        <f>COUNTIF(J26:AV26,"CORRECTO")</f>
        <v/>
      </c>
      <c r="AX26" s="4">
        <f>COUNTIF(J26:AV26,"INCORRECTO")</f>
        <v/>
      </c>
      <c r="AY26" s="4" t="n">
        <v>20</v>
      </c>
      <c r="AZ26" s="5">
        <f>AW26/AY26</f>
        <v/>
      </c>
    </row>
    <row r="27">
      <c r="A27" s="2" t="inlineStr">
        <is>
          <t>TRATADO</t>
        </is>
      </c>
      <c r="B27" s="2" t="inlineStr">
        <is>
          <t>111001800554</t>
        </is>
      </c>
      <c r="C27" s="2" t="inlineStr">
        <is>
          <t>COLEGIO EMMA REYES (IED)</t>
        </is>
      </c>
      <c r="D27" s="2" t="inlineStr">
        <is>
          <t>JUAN PABLO RIVERA ACEVEDO</t>
        </is>
      </c>
      <c r="E27" s="2" t="inlineStr">
        <is>
          <t>1141342595</t>
        </is>
      </c>
      <c r="F27" s="2" t="n">
        <v>7</v>
      </c>
      <c r="G27" s="2" t="n">
        <v>701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C</t>
        </is>
      </c>
      <c r="L27" s="6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A</t>
        </is>
      </c>
      <c r="AV27" s="6" t="inlineStr">
        <is>
          <t>INCORRECTO</t>
        </is>
      </c>
      <c r="AW27" s="4">
        <f>COUNTIF(J27:AV27,"CORRECTO")</f>
        <v/>
      </c>
      <c r="AX27" s="4">
        <f>COUNTIF(J27:AV27,"INCORRECTO")</f>
        <v/>
      </c>
      <c r="AY27" s="4" t="n">
        <v>20</v>
      </c>
      <c r="AZ27" s="5">
        <f>AW27/AY27</f>
        <v/>
      </c>
    </row>
    <row r="28">
      <c r="A28" s="2" t="inlineStr">
        <is>
          <t>TRATADO</t>
        </is>
      </c>
      <c r="B28" s="2" t="inlineStr">
        <is>
          <t>111001800554</t>
        </is>
      </c>
      <c r="C28" s="2" t="inlineStr">
        <is>
          <t>COLEGIO EMMA REYES (IED)</t>
        </is>
      </c>
      <c r="D28" s="2" t="inlineStr">
        <is>
          <t>SARA MARTINEZ CITTELLY</t>
        </is>
      </c>
      <c r="E28" s="2" t="inlineStr">
        <is>
          <t>1141343142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6" t="inlineStr">
        <is>
          <t>INCORRECTO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B</t>
        </is>
      </c>
      <c r="T28" s="6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6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/>
      <c r="AB28" s="6" t="inlineStr">
        <is>
          <t>INCORRECTO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6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4">
        <f>COUNTIF(J28:AV28,"CORRECTO")</f>
        <v/>
      </c>
      <c r="AX28" s="4">
        <f>COUNTIF(J28:AV28,"INCORRECTO")</f>
        <v/>
      </c>
      <c r="AY28" s="4" t="n">
        <v>20</v>
      </c>
      <c r="AZ28" s="5">
        <f>AW28/AY28</f>
        <v/>
      </c>
    </row>
    <row r="29">
      <c r="A29" s="2" t="inlineStr">
        <is>
          <t>TRATADO</t>
        </is>
      </c>
      <c r="B29" s="2" t="inlineStr">
        <is>
          <t>111001800554</t>
        </is>
      </c>
      <c r="C29" s="2" t="inlineStr">
        <is>
          <t>COLEGIO EMMA REYES (IED)</t>
        </is>
      </c>
      <c r="D29" s="2" t="inlineStr">
        <is>
          <t>JULIAN FELIPE JIMENEZ TORRES</t>
        </is>
      </c>
      <c r="E29" s="2" t="inlineStr">
        <is>
          <t>1011232532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6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6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6" t="inlineStr">
        <is>
          <t>INCORRECTO</t>
        </is>
      </c>
      <c r="AW29" s="4">
        <f>COUNTIF(J29:AV29,"CORRECTO")</f>
        <v/>
      </c>
      <c r="AX29" s="4">
        <f>COUNTIF(J29:AV29,"INCORRECTO")</f>
        <v/>
      </c>
      <c r="AY29" s="4" t="n">
        <v>20</v>
      </c>
      <c r="AZ29" s="5">
        <f>AW29/AY29</f>
        <v/>
      </c>
    </row>
    <row r="30">
      <c r="A30" s="2" t="inlineStr">
        <is>
          <t>TRATADO</t>
        </is>
      </c>
      <c r="B30" s="2" t="inlineStr">
        <is>
          <t>111001800554</t>
        </is>
      </c>
      <c r="C30" s="2" t="inlineStr">
        <is>
          <t>COLEGIO EMMA REYES (IED)</t>
        </is>
      </c>
      <c r="D30" s="2" t="inlineStr">
        <is>
          <t>MARIA PAULA TORRES PARDO</t>
        </is>
      </c>
      <c r="E30" s="2" t="inlineStr">
        <is>
          <t>1034786765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6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/>
      <c r="AN30" s="6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6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4">
        <f>COUNTIF(J30:AV30,"CORRECTO")</f>
        <v/>
      </c>
      <c r="AX30" s="4">
        <f>COUNTIF(J30:AV30,"INCORRECTO")</f>
        <v/>
      </c>
      <c r="AY30" s="4" t="n">
        <v>20</v>
      </c>
      <c r="AZ30" s="5">
        <f>AW30/AY30</f>
        <v/>
      </c>
    </row>
    <row r="31">
      <c r="A31" s="2" t="inlineStr">
        <is>
          <t>TRATADO</t>
        </is>
      </c>
      <c r="B31" s="2" t="inlineStr">
        <is>
          <t>111001800554</t>
        </is>
      </c>
      <c r="C31" s="2" t="inlineStr">
        <is>
          <t>COLEGIO EMMA REYES (IED)</t>
        </is>
      </c>
      <c r="D31" s="2" t="inlineStr">
        <is>
          <t>MIGUEL ANGEL PARRA CASALLAS</t>
        </is>
      </c>
      <c r="E31" s="2" t="inlineStr">
        <is>
          <t>1012422591</t>
        </is>
      </c>
      <c r="F31" s="2" t="n">
        <v>7</v>
      </c>
      <c r="G31" s="2" t="n">
        <v>701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A</t>
        </is>
      </c>
      <c r="AT31" s="6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4">
        <f>COUNTIF(J31:AV31,"CORRECTO")</f>
        <v/>
      </c>
      <c r="AX31" s="4">
        <f>COUNTIF(J31:AV31,"INCORRECTO")</f>
        <v/>
      </c>
      <c r="AY31" s="4" t="n">
        <v>20</v>
      </c>
      <c r="AZ31" s="5">
        <f>AW31/AY31</f>
        <v/>
      </c>
    </row>
    <row r="32">
      <c r="A32" s="2" t="inlineStr">
        <is>
          <t>TRATADO</t>
        </is>
      </c>
      <c r="B32" s="2" t="inlineStr">
        <is>
          <t>111001800554</t>
        </is>
      </c>
      <c r="C32" s="2" t="inlineStr">
        <is>
          <t>COLEGIO EMMA REYES (IED)</t>
        </is>
      </c>
      <c r="D32" s="2" t="inlineStr">
        <is>
          <t>NOAH XAVIER PEDROZA ALVAREZ</t>
        </is>
      </c>
      <c r="E32" s="2" t="inlineStr">
        <is>
          <t>1034668200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B</t>
        </is>
      </c>
      <c r="J32" s="6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6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6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6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6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/>
      <c r="AV32" s="6" t="inlineStr">
        <is>
          <t>INCORRECTO</t>
        </is>
      </c>
      <c r="AW32" s="4">
        <f>COUNTIF(J32:AV32,"CORRECTO")</f>
        <v/>
      </c>
      <c r="AX32" s="4">
        <f>COUNTIF(J32:AV32,"INCORRECTO")</f>
        <v/>
      </c>
      <c r="AY32" s="4" t="n">
        <v>20</v>
      </c>
      <c r="AZ32" s="5">
        <f>AW32/AY32</f>
        <v/>
      </c>
    </row>
    <row r="33">
      <c r="A33" s="2" t="inlineStr">
        <is>
          <t>TRATADO</t>
        </is>
      </c>
      <c r="B33" s="2" t="inlineStr">
        <is>
          <t>111001800554</t>
        </is>
      </c>
      <c r="C33" s="2" t="inlineStr">
        <is>
          <t>COLEGIO EMMA REYES (IED)</t>
        </is>
      </c>
      <c r="D33" s="2" t="inlineStr">
        <is>
          <t>SAMUEL ALEJANDRO PAEZ BELTRAN</t>
        </is>
      </c>
      <c r="E33" s="2" t="inlineStr">
        <is>
          <t>1222204973</t>
        </is>
      </c>
      <c r="F33" s="2" t="n">
        <v>7</v>
      </c>
      <c r="G33" s="2" t="n">
        <v>701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C</t>
        </is>
      </c>
      <c r="L33" s="6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6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6" t="inlineStr">
        <is>
          <t>INCORRECTO</t>
        </is>
      </c>
      <c r="AW33" s="4">
        <f>COUNTIF(J33:AV33,"CORRECTO")</f>
        <v/>
      </c>
      <c r="AX33" s="4">
        <f>COUNTIF(J33:AV33,"INCORRECTO")</f>
        <v/>
      </c>
      <c r="AY33" s="4" t="n">
        <v>20</v>
      </c>
      <c r="AZ33" s="5">
        <f>AW33/AY33</f>
        <v/>
      </c>
    </row>
    <row r="34">
      <c r="A34" s="2" t="inlineStr">
        <is>
          <t>TRATADO</t>
        </is>
      </c>
      <c r="B34" s="2" t="inlineStr">
        <is>
          <t>111001800554</t>
        </is>
      </c>
      <c r="C34" s="2" t="inlineStr">
        <is>
          <t>COLEGIO EMMA REYES (IED)</t>
        </is>
      </c>
      <c r="D34" s="2" t="inlineStr">
        <is>
          <t>MIGUEL ANGEL DIAZ LOMBO</t>
        </is>
      </c>
      <c r="E34" s="2" t="inlineStr">
        <is>
          <t>1011227836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6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6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4">
        <f>COUNTIF(J34:AV34,"CORRECTO")</f>
        <v/>
      </c>
      <c r="AX34" s="4">
        <f>COUNTIF(J34:AV34,"INCORRECTO")</f>
        <v/>
      </c>
      <c r="AY34" s="4" t="n">
        <v>20</v>
      </c>
      <c r="AZ34" s="5">
        <f>AW34/AY34</f>
        <v/>
      </c>
    </row>
    <row r="35">
      <c r="A35" s="2" t="inlineStr">
        <is>
          <t>TRATADO</t>
        </is>
      </c>
      <c r="B35" s="2" t="inlineStr">
        <is>
          <t>111001800554</t>
        </is>
      </c>
      <c r="C35" s="2" t="inlineStr">
        <is>
          <t>COLEGIO EMMA REYES (IED)</t>
        </is>
      </c>
      <c r="D35" s="2" t="inlineStr">
        <is>
          <t>DANNA VALENTINA BARRETO GUERRERO</t>
        </is>
      </c>
      <c r="E35" s="2" t="inlineStr">
        <is>
          <t>1016082489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6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4">
        <f>COUNTIF(J35:AV35,"CORRECTO")</f>
        <v/>
      </c>
      <c r="AX35" s="4">
        <f>COUNTIF(J35:AV35,"INCORRECTO")</f>
        <v/>
      </c>
      <c r="AY35" s="4" t="n">
        <v>20</v>
      </c>
      <c r="AZ35" s="5">
        <f>AW35/AY35</f>
        <v/>
      </c>
    </row>
    <row r="36">
      <c r="A36" s="2" t="inlineStr">
        <is>
          <t>TRATADO</t>
        </is>
      </c>
      <c r="B36" s="2" t="inlineStr">
        <is>
          <t>111001800554</t>
        </is>
      </c>
      <c r="C36" s="2" t="inlineStr">
        <is>
          <t>COLEGIO EMMA REYES (IED)</t>
        </is>
      </c>
      <c r="D36" s="2" t="inlineStr">
        <is>
          <t>THOMAS ORJUELA PEÑA</t>
        </is>
      </c>
      <c r="E36" s="2" t="inlineStr">
        <is>
          <t>1020001351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6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6" t="inlineStr">
        <is>
          <t>INCORRECTO</t>
        </is>
      </c>
      <c r="AG36" s="2" t="inlineStr"/>
      <c r="AH36" s="6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A</t>
        </is>
      </c>
      <c r="AL36" s="6" t="inlineStr">
        <is>
          <t>INCORRECTO</t>
        </is>
      </c>
      <c r="AM36" s="2" t="inlineStr"/>
      <c r="AN36" s="6" t="inlineStr">
        <is>
          <t>INCORRECTO</t>
        </is>
      </c>
      <c r="AO36" s="2" t="inlineStr">
        <is>
          <t>D</t>
        </is>
      </c>
      <c r="AP36" s="6" t="inlineStr">
        <is>
          <t>INCORRECTO</t>
        </is>
      </c>
      <c r="AQ36" s="2" t="inlineStr">
        <is>
          <t>C</t>
        </is>
      </c>
      <c r="AR36" s="6" t="inlineStr">
        <is>
          <t>INCORRECTO</t>
        </is>
      </c>
      <c r="AS36" s="2" t="inlineStr">
        <is>
          <t>B</t>
        </is>
      </c>
      <c r="AT36" s="6" t="inlineStr">
        <is>
          <t>INCORRECTO</t>
        </is>
      </c>
      <c r="AU36" s="2" t="inlineStr">
        <is>
          <t>A</t>
        </is>
      </c>
      <c r="AV36" s="6" t="inlineStr">
        <is>
          <t>INCORRECTO</t>
        </is>
      </c>
      <c r="AW36" s="4">
        <f>COUNTIF(J36:AV36,"CORRECTO")</f>
        <v/>
      </c>
      <c r="AX36" s="4">
        <f>COUNTIF(J36:AV36,"INCORRECTO")</f>
        <v/>
      </c>
      <c r="AY36" s="4" t="n">
        <v>20</v>
      </c>
      <c r="AZ36" s="5">
        <f>AW36/AY36</f>
        <v/>
      </c>
    </row>
    <row r="37">
      <c r="A37" s="2" t="inlineStr">
        <is>
          <t>TRATADO</t>
        </is>
      </c>
      <c r="B37" s="2" t="inlineStr">
        <is>
          <t>111001800554</t>
        </is>
      </c>
      <c r="C37" s="2" t="inlineStr">
        <is>
          <t>COLEGIO EMMA REYES (IED)</t>
        </is>
      </c>
      <c r="D37" s="2" t="inlineStr">
        <is>
          <t>KEVIN JAVIER ARROYAVE SANCHEZ</t>
        </is>
      </c>
      <c r="E37" s="2" t="inlineStr">
        <is>
          <t>1141342715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4">
        <f>COUNTIF(J37:AV37,"CORRECTO")</f>
        <v/>
      </c>
      <c r="AX37" s="4">
        <f>COUNTIF(J37:AV37,"INCORRECTO")</f>
        <v/>
      </c>
      <c r="AY37" s="4" t="n">
        <v>20</v>
      </c>
      <c r="AZ37" s="5">
        <f>AW37/AY37</f>
        <v/>
      </c>
    </row>
    <row r="38">
      <c r="A38" s="2" t="inlineStr">
        <is>
          <t>TRATADO</t>
        </is>
      </c>
      <c r="B38" s="2" t="inlineStr">
        <is>
          <t>111001800554</t>
        </is>
      </c>
      <c r="C38" s="2" t="inlineStr">
        <is>
          <t>COLEGIO EMMA REYES (IED)</t>
        </is>
      </c>
      <c r="D38" s="2" t="inlineStr">
        <is>
          <t>ANTHONY DAVID MARIN PEÑA</t>
        </is>
      </c>
      <c r="E38" s="2" t="inlineStr">
        <is>
          <t>1141342904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6" t="inlineStr">
        <is>
          <t>INCORRECTO</t>
        </is>
      </c>
      <c r="O38" s="2" t="inlineStr">
        <is>
          <t>C</t>
        </is>
      </c>
      <c r="P38" s="6" t="inlineStr">
        <is>
          <t>INCORRECTO</t>
        </is>
      </c>
      <c r="Q38" s="2" t="inlineStr">
        <is>
          <t>B</t>
        </is>
      </c>
      <c r="R38" s="6" t="inlineStr">
        <is>
          <t>INCORRECTO</t>
        </is>
      </c>
      <c r="S38" s="2" t="inlineStr">
        <is>
          <t>B</t>
        </is>
      </c>
      <c r="T38" s="6" t="inlineStr">
        <is>
          <t>INCORRECTO</t>
        </is>
      </c>
      <c r="U38" s="2" t="inlineStr">
        <is>
          <t>C</t>
        </is>
      </c>
      <c r="V38" s="6" t="inlineStr">
        <is>
          <t>INCORRECTO</t>
        </is>
      </c>
      <c r="W38" s="2" t="inlineStr">
        <is>
          <t>B</t>
        </is>
      </c>
      <c r="X38" s="6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6" t="inlineStr">
        <is>
          <t>INCORRECTO</t>
        </is>
      </c>
      <c r="AG38" s="2" t="inlineStr">
        <is>
          <t>D</t>
        </is>
      </c>
      <c r="AH38" s="6" t="inlineStr">
        <is>
          <t>INCORRECTO</t>
        </is>
      </c>
      <c r="AI38" s="2" t="inlineStr">
        <is>
          <t>D</t>
        </is>
      </c>
      <c r="AJ38" s="6" t="inlineStr">
        <is>
          <t>INCORRECTO</t>
        </is>
      </c>
      <c r="AK38" s="2" t="inlineStr">
        <is>
          <t>D</t>
        </is>
      </c>
      <c r="AL38" s="6" t="inlineStr">
        <is>
          <t>INCORRECTO</t>
        </is>
      </c>
      <c r="AM38" s="2" t="inlineStr">
        <is>
          <t>B</t>
        </is>
      </c>
      <c r="AN38" s="6" t="inlineStr">
        <is>
          <t>INCORRECTO</t>
        </is>
      </c>
      <c r="AO38" s="2" t="inlineStr">
        <is>
          <t>A</t>
        </is>
      </c>
      <c r="AP38" s="6" t="inlineStr">
        <is>
          <t>INCORRECTO</t>
        </is>
      </c>
      <c r="AQ38" s="2" t="inlineStr">
        <is>
          <t>A</t>
        </is>
      </c>
      <c r="AR38" s="6" t="inlineStr">
        <is>
          <t>INCORRECTO</t>
        </is>
      </c>
      <c r="AS38" s="2" t="inlineStr">
        <is>
          <t>B</t>
        </is>
      </c>
      <c r="AT38" s="6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4">
        <f>COUNTIF(J38:AV38,"CORRECTO")</f>
        <v/>
      </c>
      <c r="AX38" s="4">
        <f>COUNTIF(J38:AV38,"INCORRECTO")</f>
        <v/>
      </c>
      <c r="AY38" s="4" t="n">
        <v>20</v>
      </c>
      <c r="AZ38" s="5">
        <f>AW38/AY38</f>
        <v/>
      </c>
    </row>
    <row r="39">
      <c r="A39" s="2" t="inlineStr">
        <is>
          <t>TRATADO</t>
        </is>
      </c>
      <c r="B39" s="2" t="inlineStr">
        <is>
          <t>111001800554</t>
        </is>
      </c>
      <c r="C39" s="2" t="inlineStr">
        <is>
          <t>COLEGIO EMMA REYES (IED)</t>
        </is>
      </c>
      <c r="D39" s="2" t="inlineStr">
        <is>
          <t>JUAN PABLO FONSECA BOLIVAR</t>
        </is>
      </c>
      <c r="E39" s="2" t="inlineStr">
        <is>
          <t>1034786580</t>
        </is>
      </c>
      <c r="F39" s="2" t="n">
        <v>7</v>
      </c>
      <c r="G39" s="2" t="n">
        <v>701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B</t>
        </is>
      </c>
      <c r="Z39" s="6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A</t>
        </is>
      </c>
      <c r="AT39" s="6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4">
        <f>COUNTIF(J39:AV39,"CORRECTO")</f>
        <v/>
      </c>
      <c r="AX39" s="4">
        <f>COUNTIF(J39:AV39,"INCORRECTO")</f>
        <v/>
      </c>
      <c r="AY39" s="4" t="n">
        <v>20</v>
      </c>
      <c r="AZ39" s="5">
        <f>AW39/AY39</f>
        <v/>
      </c>
    </row>
    <row r="40">
      <c r="A40" s="2" t="inlineStr">
        <is>
          <t>TRATADO</t>
        </is>
      </c>
      <c r="B40" s="2" t="inlineStr">
        <is>
          <t>111001800554</t>
        </is>
      </c>
      <c r="C40" s="2" t="inlineStr">
        <is>
          <t>COLEGIO EMMA REYES (IED)</t>
        </is>
      </c>
      <c r="D40" s="2" t="inlineStr">
        <is>
          <t>JUAN SANTIAGO RODRIGUEZ ROBAYO</t>
        </is>
      </c>
      <c r="E40" s="2" t="inlineStr">
        <is>
          <t>1011230973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6" t="inlineStr">
        <is>
          <t>INCORRECTO</t>
        </is>
      </c>
      <c r="O40" s="2" t="inlineStr">
        <is>
          <t>A</t>
        </is>
      </c>
      <c r="P40" s="6" t="inlineStr">
        <is>
          <t>INCORRECTO</t>
        </is>
      </c>
      <c r="Q40" s="2" t="inlineStr">
        <is>
          <t>C</t>
        </is>
      </c>
      <c r="R40" s="6" t="inlineStr">
        <is>
          <t>INCORRECTO</t>
        </is>
      </c>
      <c r="S40" s="2" t="inlineStr">
        <is>
          <t>B</t>
        </is>
      </c>
      <c r="T40" s="6" t="inlineStr">
        <is>
          <t>INCORRECTO</t>
        </is>
      </c>
      <c r="U40" s="2" t="inlineStr">
        <is>
          <t>D</t>
        </is>
      </c>
      <c r="V40" s="6" t="inlineStr">
        <is>
          <t>INCORRECTO</t>
        </is>
      </c>
      <c r="W40" s="2" t="inlineStr">
        <is>
          <t>C</t>
        </is>
      </c>
      <c r="X40" s="6" t="inlineStr">
        <is>
          <t>INCORRECTO</t>
        </is>
      </c>
      <c r="Y40" s="2" t="inlineStr">
        <is>
          <t>A</t>
        </is>
      </c>
      <c r="Z40" s="6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6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6" t="inlineStr">
        <is>
          <t>INCORRECTO</t>
        </is>
      </c>
      <c r="AK40" s="2" t="inlineStr">
        <is>
          <t>D</t>
        </is>
      </c>
      <c r="AL40" s="6" t="inlineStr">
        <is>
          <t>INCORRECTO</t>
        </is>
      </c>
      <c r="AM40" s="2" t="inlineStr">
        <is>
          <t>B</t>
        </is>
      </c>
      <c r="AN40" s="6" t="inlineStr">
        <is>
          <t>INCORRECTO</t>
        </is>
      </c>
      <c r="AO40" s="2" t="inlineStr">
        <is>
          <t>A</t>
        </is>
      </c>
      <c r="AP40" s="6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6" t="inlineStr">
        <is>
          <t>INCORRECTO</t>
        </is>
      </c>
      <c r="AW40" s="4">
        <f>COUNTIF(J40:AV40,"CORRECTO")</f>
        <v/>
      </c>
      <c r="AX40" s="4">
        <f>COUNTIF(J40:AV40,"INCORRECTO")</f>
        <v/>
      </c>
      <c r="AY40" s="4" t="n">
        <v>20</v>
      </c>
      <c r="AZ40" s="5">
        <f>AW40/AY40</f>
        <v/>
      </c>
    </row>
    <row r="41">
      <c r="A41" s="2" t="inlineStr">
        <is>
          <t>TRATADO</t>
        </is>
      </c>
      <c r="B41" s="2" t="inlineStr">
        <is>
          <t>111001800554</t>
        </is>
      </c>
      <c r="C41" s="2" t="inlineStr">
        <is>
          <t>COLEGIO EMMA REYES (IED)</t>
        </is>
      </c>
      <c r="D41" s="2" t="inlineStr">
        <is>
          <t>JUANITA SANCHEZ DAZA</t>
        </is>
      </c>
      <c r="E41" s="2" t="inlineStr">
        <is>
          <t>1028789703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C</t>
        </is>
      </c>
      <c r="L41" s="6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A</t>
        </is>
      </c>
      <c r="AT41" s="6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4">
        <f>COUNTIF(J41:AV41,"CORRECTO")</f>
        <v/>
      </c>
      <c r="AX41" s="4">
        <f>COUNTIF(J41:AV41,"INCORRECTO")</f>
        <v/>
      </c>
      <c r="AY41" s="4" t="n">
        <v>20</v>
      </c>
      <c r="AZ41" s="5">
        <f>AW41/AY41</f>
        <v/>
      </c>
    </row>
    <row r="42">
      <c r="A42" s="2" t="inlineStr">
        <is>
          <t>TRATADO</t>
        </is>
      </c>
      <c r="B42" s="2" t="inlineStr">
        <is>
          <t>111001800554</t>
        </is>
      </c>
      <c r="C42" s="2" t="inlineStr">
        <is>
          <t>COLEGIO EMMA REYES (IED)</t>
        </is>
      </c>
      <c r="D42" s="2" t="inlineStr">
        <is>
          <t>WILLIAM MOISES UPARELA ROJAS</t>
        </is>
      </c>
      <c r="E42" s="2" t="inlineStr">
        <is>
          <t>1030625416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D</t>
        </is>
      </c>
      <c r="J42" s="6" t="inlineStr">
        <is>
          <t>INCORRECTO</t>
        </is>
      </c>
      <c r="K42" s="2" t="inlineStr">
        <is>
          <t>C</t>
        </is>
      </c>
      <c r="L42" s="6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B</t>
        </is>
      </c>
      <c r="P42" s="6" t="inlineStr">
        <is>
          <t>INCORRECTO</t>
        </is>
      </c>
      <c r="Q42" s="2" t="inlineStr">
        <is>
          <t>B</t>
        </is>
      </c>
      <c r="R42" s="6" t="inlineStr">
        <is>
          <t>INCORRECTO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6" t="inlineStr">
        <is>
          <t>INCORRECTO</t>
        </is>
      </c>
      <c r="W42" s="2" t="inlineStr">
        <is>
          <t>D</t>
        </is>
      </c>
      <c r="X42" s="6" t="inlineStr">
        <is>
          <t>INCORRECTO</t>
        </is>
      </c>
      <c r="Y42" s="2" t="inlineStr">
        <is>
          <t>C</t>
        </is>
      </c>
      <c r="Z42" s="6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6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6" t="inlineStr">
        <is>
          <t>INCORRECTO</t>
        </is>
      </c>
      <c r="AK42" s="2" t="inlineStr">
        <is>
          <t>B</t>
        </is>
      </c>
      <c r="AL42" s="6" t="inlineStr">
        <is>
          <t>INCORRECTO</t>
        </is>
      </c>
      <c r="AM42" s="2" t="inlineStr">
        <is>
          <t>D</t>
        </is>
      </c>
      <c r="AN42" s="6" t="inlineStr">
        <is>
          <t>INCORRECTO</t>
        </is>
      </c>
      <c r="AO42" s="2" t="inlineStr">
        <is>
          <t>C</t>
        </is>
      </c>
      <c r="AP42" s="6" t="inlineStr">
        <is>
          <t>INCORRECTO</t>
        </is>
      </c>
      <c r="AQ42" s="2" t="inlineStr">
        <is>
          <t>C</t>
        </is>
      </c>
      <c r="AR42" s="6" t="inlineStr">
        <is>
          <t>INCORRECTO</t>
        </is>
      </c>
      <c r="AS42" s="2" t="inlineStr">
        <is>
          <t>D</t>
        </is>
      </c>
      <c r="AT42" s="6" t="inlineStr">
        <is>
          <t>INCORRECTO</t>
        </is>
      </c>
      <c r="AU42" s="2" t="inlineStr">
        <is>
          <t>D</t>
        </is>
      </c>
      <c r="AV42" s="6" t="inlineStr">
        <is>
          <t>INCORRECTO</t>
        </is>
      </c>
      <c r="AW42" s="4">
        <f>COUNTIF(J42:AV42,"CORRECTO")</f>
        <v/>
      </c>
      <c r="AX42" s="4">
        <f>COUNTIF(J42:AV42,"INCORRECTO")</f>
        <v/>
      </c>
      <c r="AY42" s="4" t="n">
        <v>20</v>
      </c>
      <c r="AZ42" s="5">
        <f>AW42/AY42</f>
        <v/>
      </c>
    </row>
    <row r="43">
      <c r="A43" s="2" t="inlineStr">
        <is>
          <t>TRATADO</t>
        </is>
      </c>
      <c r="B43" s="2" t="inlineStr">
        <is>
          <t>111001800554</t>
        </is>
      </c>
      <c r="C43" s="2" t="inlineStr">
        <is>
          <t>COLEGIO EMMA REYES (IED)</t>
        </is>
      </c>
      <c r="D43" s="2" t="inlineStr">
        <is>
          <t>JUAN SEBASTAN PEREZ MALDONADO</t>
        </is>
      </c>
      <c r="E43" s="2" t="inlineStr">
        <is>
          <t>1011327267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6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C</t>
        </is>
      </c>
      <c r="T43" s="6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D</t>
        </is>
      </c>
      <c r="X43" s="6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6" t="inlineStr">
        <is>
          <t>INCORRECTO</t>
        </is>
      </c>
      <c r="AE43" s="2" t="inlineStr">
        <is>
          <t>B</t>
        </is>
      </c>
      <c r="AF43" s="6" t="inlineStr">
        <is>
          <t>INCORRECTO</t>
        </is>
      </c>
      <c r="AG43" s="2" t="inlineStr">
        <is>
          <t>B</t>
        </is>
      </c>
      <c r="AH43" s="6" t="inlineStr">
        <is>
          <t>INCORRECTO</t>
        </is>
      </c>
      <c r="AI43" s="2" t="inlineStr">
        <is>
          <t>D</t>
        </is>
      </c>
      <c r="AJ43" s="6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6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6" t="inlineStr">
        <is>
          <t>INCORRECTO</t>
        </is>
      </c>
      <c r="AU43" s="2" t="inlineStr">
        <is>
          <t>B</t>
        </is>
      </c>
      <c r="AV43" s="6" t="inlineStr">
        <is>
          <t>INCORRECTO</t>
        </is>
      </c>
      <c r="AW43" s="4">
        <f>COUNTIF(J43:AV43,"CORRECTO")</f>
        <v/>
      </c>
      <c r="AX43" s="4">
        <f>COUNTIF(J43:AV43,"INCORRECTO")</f>
        <v/>
      </c>
      <c r="AY43" s="4" t="n">
        <v>20</v>
      </c>
      <c r="AZ43" s="5">
        <f>AW43/AY43</f>
        <v/>
      </c>
    </row>
    <row r="44">
      <c r="A44" s="2" t="inlineStr">
        <is>
          <t>TRATADO</t>
        </is>
      </c>
      <c r="B44" s="2" t="inlineStr">
        <is>
          <t>111001800554</t>
        </is>
      </c>
      <c r="C44" s="2" t="inlineStr">
        <is>
          <t>COLEGIO EMMA REYES (IED)</t>
        </is>
      </c>
      <c r="D44" s="2" t="inlineStr">
        <is>
          <t>LAURA CASTAÑEDA MARTINEZ</t>
        </is>
      </c>
      <c r="E44" s="2" t="inlineStr">
        <is>
          <t>1220216165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6" t="inlineStr">
        <is>
          <t>INCORRECTO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D</t>
        </is>
      </c>
      <c r="AF44" s="6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A</t>
        </is>
      </c>
      <c r="AT44" s="6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4">
        <f>COUNTIF(J44:AV44,"CORRECTO")</f>
        <v/>
      </c>
      <c r="AX44" s="4">
        <f>COUNTIF(J44:AV44,"INCORRECTO")</f>
        <v/>
      </c>
      <c r="AY44" s="4" t="n">
        <v>20</v>
      </c>
      <c r="AZ44" s="5">
        <f>AW44/AY44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MARIANA RUIZ OCHOA</t>
        </is>
      </c>
      <c r="E45" s="2" t="inlineStr">
        <is>
          <t>1030653046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6" t="inlineStr">
        <is>
          <t>INCORRECTO</t>
        </is>
      </c>
      <c r="M45" s="2" t="inlineStr"/>
      <c r="N45" s="6" t="inlineStr">
        <is>
          <t>INCORRECTO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6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6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C</t>
        </is>
      </c>
      <c r="AN45" s="6" t="inlineStr">
        <is>
          <t>INCORRECTO</t>
        </is>
      </c>
      <c r="AO45" s="2" t="inlineStr">
        <is>
          <t>D</t>
        </is>
      </c>
      <c r="AP45" s="6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C</t>
        </is>
      </c>
      <c r="AT45" s="6" t="inlineStr">
        <is>
          <t>INCORRECTO</t>
        </is>
      </c>
      <c r="AU45" s="2" t="inlineStr">
        <is>
          <t>A</t>
        </is>
      </c>
      <c r="AV45" s="6" t="inlineStr">
        <is>
          <t>INCORRECTO</t>
        </is>
      </c>
      <c r="AW45" s="4">
        <f>COUNTIF(J45:AV45,"CORRECTO")</f>
        <v/>
      </c>
      <c r="AX45" s="4">
        <f>COUNTIF(J45:AV45,"INCORRECTO")</f>
        <v/>
      </c>
      <c r="AY45" s="4" t="n">
        <v>20</v>
      </c>
      <c r="AZ45" s="5">
        <f>AW45/AY45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GABRIELA CASTAÑEDA MARTINEZ</t>
        </is>
      </c>
      <c r="E46" s="2" t="inlineStr">
        <is>
          <t>1220216164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6" t="inlineStr">
        <is>
          <t>INCORRECTO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6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A</t>
        </is>
      </c>
      <c r="AN46" s="3" t="inlineStr">
        <is>
          <t>CORRECTO</t>
        </is>
      </c>
      <c r="AO46" s="2" t="inlineStr">
        <is>
          <t>A</t>
        </is>
      </c>
      <c r="AP46" s="6" t="inlineStr">
        <is>
          <t>INCORRECTO</t>
        </is>
      </c>
      <c r="AQ46" s="2" t="inlineStr">
        <is>
          <t>B</t>
        </is>
      </c>
      <c r="AR46" s="6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4">
        <f>COUNTIF(J46:AV46,"CORRECTO")</f>
        <v/>
      </c>
      <c r="AX46" s="4">
        <f>COUNTIF(J46:AV46,"INCORRECTO")</f>
        <v/>
      </c>
      <c r="AY46" s="4" t="n">
        <v>20</v>
      </c>
      <c r="AZ46" s="5">
        <f>AW46/AY46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ANDREA SOFIA RIVERO RODRIGUEZ</t>
        </is>
      </c>
      <c r="E47" s="2" t="inlineStr">
        <is>
          <t>1232590364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6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6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D</t>
        </is>
      </c>
      <c r="T47" s="6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6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D</t>
        </is>
      </c>
      <c r="AD47" s="6" t="inlineStr">
        <is>
          <t>INCORRECTO</t>
        </is>
      </c>
      <c r="AE47" s="2" t="inlineStr">
        <is>
          <t>B</t>
        </is>
      </c>
      <c r="AF47" s="6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D</t>
        </is>
      </c>
      <c r="AJ47" s="6" t="inlineStr">
        <is>
          <t>INCORRECTO</t>
        </is>
      </c>
      <c r="AK47" s="2" t="inlineStr">
        <is>
          <t>B</t>
        </is>
      </c>
      <c r="AL47" s="6" t="inlineStr">
        <is>
          <t>INCORRECTO</t>
        </is>
      </c>
      <c r="AM47" s="2" t="inlineStr">
        <is>
          <t>B</t>
        </is>
      </c>
      <c r="AN47" s="6" t="inlineStr">
        <is>
          <t>INCORRECTO</t>
        </is>
      </c>
      <c r="AO47" s="2" t="inlineStr">
        <is>
          <t>D</t>
        </is>
      </c>
      <c r="AP47" s="6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C</t>
        </is>
      </c>
      <c r="AT47" s="6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4">
        <f>COUNTIF(J47:AV47,"CORRECTO")</f>
        <v/>
      </c>
      <c r="AX47" s="4">
        <f>COUNTIF(J47:AV47,"INCORRECTO")</f>
        <v/>
      </c>
      <c r="AY47" s="4" t="n">
        <v>20</v>
      </c>
      <c r="AZ47" s="5">
        <f>AW47/AY47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SAMUEL FELIPE CRUZ VASQUEZ</t>
        </is>
      </c>
      <c r="E48" s="2" t="inlineStr">
        <is>
          <t>1146130003</t>
        </is>
      </c>
      <c r="F48" s="2" t="n">
        <v>7</v>
      </c>
      <c r="G48" s="2" t="n">
        <v>701</v>
      </c>
      <c r="H48" s="2" t="inlineStr">
        <is>
          <t>MATEMÁTICAS</t>
        </is>
      </c>
      <c r="I48" s="2" t="inlineStr">
        <is>
          <t>D</t>
        </is>
      </c>
      <c r="J48" s="6" t="inlineStr">
        <is>
          <t>INCORRECTO</t>
        </is>
      </c>
      <c r="K48" s="2" t="inlineStr">
        <is>
          <t>D</t>
        </is>
      </c>
      <c r="L48" s="6" t="inlineStr">
        <is>
          <t>INCORRECTO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6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6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6" t="inlineStr">
        <is>
          <t>INCORRECTO</t>
        </is>
      </c>
      <c r="AK48" s="2" t="inlineStr">
        <is>
          <t>B</t>
        </is>
      </c>
      <c r="AL48" s="6" t="inlineStr">
        <is>
          <t>INCORRECTO</t>
        </is>
      </c>
      <c r="AM48" s="2" t="inlineStr">
        <is>
          <t>A</t>
        </is>
      </c>
      <c r="AN48" s="3" t="inlineStr">
        <is>
          <t>CORRECTO</t>
        </is>
      </c>
      <c r="AO48" s="2" t="inlineStr">
        <is>
          <t>C</t>
        </is>
      </c>
      <c r="AP48" s="6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6" t="inlineStr">
        <is>
          <t>INCORRECTO</t>
        </is>
      </c>
      <c r="AW48" s="4">
        <f>COUNTIF(J48:AV48,"CORRECTO")</f>
        <v/>
      </c>
      <c r="AX48" s="4">
        <f>COUNTIF(J48:AV48,"INCORRECTO")</f>
        <v/>
      </c>
      <c r="AY48" s="4" t="n">
        <v>20</v>
      </c>
      <c r="AZ48" s="5">
        <f>AW48/AY48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EMILY SOFIA BARRIOS BAYONA</t>
        </is>
      </c>
      <c r="E49" s="2" t="inlineStr">
        <is>
          <t>1034304961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6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A</t>
        </is>
      </c>
      <c r="P49" s="6" t="inlineStr">
        <is>
          <t>INCORRECTO</t>
        </is>
      </c>
      <c r="Q49" s="2" t="inlineStr">
        <is>
          <t>B</t>
        </is>
      </c>
      <c r="R49" s="6" t="inlineStr">
        <is>
          <t>INCORRECTO</t>
        </is>
      </c>
      <c r="S49" s="2" t="inlineStr">
        <is>
          <t>D</t>
        </is>
      </c>
      <c r="T49" s="6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A</t>
        </is>
      </c>
      <c r="Z49" s="6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D</t>
        </is>
      </c>
      <c r="AF49" s="6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6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6" t="inlineStr">
        <is>
          <t>INCORRECTO</t>
        </is>
      </c>
      <c r="AS49" s="2" t="inlineStr">
        <is>
          <t>A</t>
        </is>
      </c>
      <c r="AT49" s="6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4">
        <f>COUNTIF(J49:AV49,"CORRECTO")</f>
        <v/>
      </c>
      <c r="AX49" s="4">
        <f>COUNTIF(J49:AV49,"INCORRECTO")</f>
        <v/>
      </c>
      <c r="AY49" s="4" t="n">
        <v>20</v>
      </c>
      <c r="AZ49" s="5">
        <f>AW49/AY49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ANDREA VALENTINA RODRÍGUEZ ÁVILA</t>
        </is>
      </c>
      <c r="E50" s="2" t="inlineStr">
        <is>
          <t>1222204567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6" t="inlineStr">
        <is>
          <t>INCORRECTO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6" t="inlineStr">
        <is>
          <t>INCORRECTO</t>
        </is>
      </c>
      <c r="S50" s="2" t="inlineStr">
        <is>
          <t>C</t>
        </is>
      </c>
      <c r="T50" s="6" t="inlineStr">
        <is>
          <t>INCORRECTO</t>
        </is>
      </c>
      <c r="U50" s="2" t="inlineStr">
        <is>
          <t>D</t>
        </is>
      </c>
      <c r="V50" s="6" t="inlineStr">
        <is>
          <t>INCORRECTO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D</t>
        </is>
      </c>
      <c r="Z50" s="6" t="inlineStr">
        <is>
          <t>INCORRECTO</t>
        </is>
      </c>
      <c r="AA50" s="2" t="inlineStr">
        <is>
          <t>C</t>
        </is>
      </c>
      <c r="AB50" s="6" t="inlineStr">
        <is>
          <t>INCORRECTO</t>
        </is>
      </c>
      <c r="AC50" s="2" t="inlineStr">
        <is>
          <t>A</t>
        </is>
      </c>
      <c r="AD50" s="6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B</t>
        </is>
      </c>
      <c r="AH50" s="6" t="inlineStr">
        <is>
          <t>INCORRECTO</t>
        </is>
      </c>
      <c r="AI50" s="2" t="inlineStr">
        <is>
          <t>D</t>
        </is>
      </c>
      <c r="AJ50" s="6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A</t>
        </is>
      </c>
      <c r="AN50" s="3" t="inlineStr">
        <is>
          <t>CORRECTO</t>
        </is>
      </c>
      <c r="AO50" s="2" t="inlineStr">
        <is>
          <t>A</t>
        </is>
      </c>
      <c r="AP50" s="6" t="inlineStr">
        <is>
          <t>INCORRECTO</t>
        </is>
      </c>
      <c r="AQ50" s="2" t="inlineStr"/>
      <c r="AR50" s="6" t="inlineStr">
        <is>
          <t>INCORRECTO</t>
        </is>
      </c>
      <c r="AS50" s="2" t="inlineStr">
        <is>
          <t>C</t>
        </is>
      </c>
      <c r="AT50" s="6" t="inlineStr">
        <is>
          <t>INCORRECTO</t>
        </is>
      </c>
      <c r="AU50" s="2" t="inlineStr">
        <is>
          <t>B</t>
        </is>
      </c>
      <c r="AV50" s="6" t="inlineStr">
        <is>
          <t>INCORRECTO</t>
        </is>
      </c>
      <c r="AW50" s="4">
        <f>COUNTIF(J50:AV50,"CORRECTO")</f>
        <v/>
      </c>
      <c r="AX50" s="4">
        <f>COUNTIF(J50:AV50,"INCORRECTO")</f>
        <v/>
      </c>
      <c r="AY50" s="4" t="n">
        <v>20</v>
      </c>
      <c r="AZ50" s="5">
        <f>AW50/AY50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LAURA ISABELLA RIOS VILLAMARIN</t>
        </is>
      </c>
      <c r="E51" s="2" t="inlineStr">
        <is>
          <t>1222206015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6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6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6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A</t>
        </is>
      </c>
      <c r="AN51" s="3" t="inlineStr">
        <is>
          <t>CORRECTO</t>
        </is>
      </c>
      <c r="AO51" s="2" t="inlineStr">
        <is>
          <t>A</t>
        </is>
      </c>
      <c r="AP51" s="6" t="inlineStr">
        <is>
          <t>INCORRECTO</t>
        </is>
      </c>
      <c r="AQ51" s="2" t="inlineStr"/>
      <c r="AR51" s="6" t="inlineStr">
        <is>
          <t>INCORRECTO</t>
        </is>
      </c>
      <c r="AS51" s="2" t="inlineStr">
        <is>
          <t>A</t>
        </is>
      </c>
      <c r="AT51" s="6" t="inlineStr">
        <is>
          <t>INCORRECTO</t>
        </is>
      </c>
      <c r="AU51" s="2" t="inlineStr">
        <is>
          <t>A</t>
        </is>
      </c>
      <c r="AV51" s="6" t="inlineStr">
        <is>
          <t>INCORRECTO</t>
        </is>
      </c>
      <c r="AW51" s="4">
        <f>COUNTIF(J51:AV51,"CORRECTO")</f>
        <v/>
      </c>
      <c r="AX51" s="4">
        <f>COUNTIF(J51:AV51,"INCORRECTO")</f>
        <v/>
      </c>
      <c r="AY51" s="4" t="n">
        <v>20</v>
      </c>
      <c r="AZ51" s="5">
        <f>AW51/AY51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DANIEL JOSE RAMOS SALAZAR</t>
        </is>
      </c>
      <c r="E52" s="2" t="inlineStr">
        <is>
          <t>1018479786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6" t="inlineStr">
        <is>
          <t>INCORRECTO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6" t="inlineStr">
        <is>
          <t>INCORRECTO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D</t>
        </is>
      </c>
      <c r="T52" s="6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A</t>
        </is>
      </c>
      <c r="AD52" s="6" t="inlineStr">
        <is>
          <t>INCORRECTO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D</t>
        </is>
      </c>
      <c r="AH52" s="6" t="inlineStr">
        <is>
          <t>INCORRECTO</t>
        </is>
      </c>
      <c r="AI52" s="2" t="inlineStr">
        <is>
          <t>D</t>
        </is>
      </c>
      <c r="AJ52" s="6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A</t>
        </is>
      </c>
      <c r="AN52" s="3" t="inlineStr">
        <is>
          <t>CORRECTO</t>
        </is>
      </c>
      <c r="AO52" s="2" t="inlineStr">
        <is>
          <t>A</t>
        </is>
      </c>
      <c r="AP52" s="6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C</t>
        </is>
      </c>
      <c r="AT52" s="6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4">
        <f>COUNTIF(J52:AV52,"CORRECTO")</f>
        <v/>
      </c>
      <c r="AX52" s="4">
        <f>COUNTIF(J52:AV52,"INCORRECTO")</f>
        <v/>
      </c>
      <c r="AY52" s="4" t="n">
        <v>20</v>
      </c>
      <c r="AZ52" s="5">
        <f>AW52/AY52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SARA SOFIA ORTIZ ROMERO</t>
        </is>
      </c>
      <c r="E53" s="2" t="inlineStr">
        <is>
          <t>1141340401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6" t="inlineStr">
        <is>
          <t>INCORRECTO</t>
        </is>
      </c>
      <c r="M53" s="2" t="inlineStr">
        <is>
          <t>B</t>
        </is>
      </c>
      <c r="N53" s="6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6" t="inlineStr">
        <is>
          <t>INCORRECTO</t>
        </is>
      </c>
      <c r="W53" s="2" t="inlineStr">
        <is>
          <t>C</t>
        </is>
      </c>
      <c r="X53" s="6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D</t>
        </is>
      </c>
      <c r="AB53" s="6" t="inlineStr">
        <is>
          <t>INCORRECTO</t>
        </is>
      </c>
      <c r="AC53" s="2" t="inlineStr">
        <is>
          <t>C</t>
        </is>
      </c>
      <c r="AD53" s="6" t="inlineStr">
        <is>
          <t>INCORRECTO</t>
        </is>
      </c>
      <c r="AE53" s="2" t="inlineStr">
        <is>
          <t>D</t>
        </is>
      </c>
      <c r="AF53" s="6" t="inlineStr">
        <is>
          <t>INCORRECTO</t>
        </is>
      </c>
      <c r="AG53" s="2" t="inlineStr">
        <is>
          <t>A</t>
        </is>
      </c>
      <c r="AH53" s="6" t="inlineStr">
        <is>
          <t>INCORRECTO</t>
        </is>
      </c>
      <c r="AI53" s="2" t="inlineStr">
        <is>
          <t>D</t>
        </is>
      </c>
      <c r="AJ53" s="6" t="inlineStr">
        <is>
          <t>INCORRECTO</t>
        </is>
      </c>
      <c r="AK53" s="2" t="inlineStr">
        <is>
          <t>B</t>
        </is>
      </c>
      <c r="AL53" s="6" t="inlineStr">
        <is>
          <t>INCORRECTO</t>
        </is>
      </c>
      <c r="AM53" s="2" t="inlineStr">
        <is>
          <t>D</t>
        </is>
      </c>
      <c r="AN53" s="6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6" t="inlineStr">
        <is>
          <t>INCORRECTO</t>
        </is>
      </c>
      <c r="AS53" s="2" t="inlineStr">
        <is>
          <t>A</t>
        </is>
      </c>
      <c r="AT53" s="6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4">
        <f>COUNTIF(J53:AV53,"CORRECTO")</f>
        <v/>
      </c>
      <c r="AX53" s="4">
        <f>COUNTIF(J53:AV53,"INCORRECTO")</f>
        <v/>
      </c>
      <c r="AY53" s="4" t="n">
        <v>20</v>
      </c>
      <c r="AZ53" s="5">
        <f>AW53/AY53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MARIA SALOME HUERFANO CAVIEDES</t>
        </is>
      </c>
      <c r="E54" s="2" t="inlineStr">
        <is>
          <t>1013144626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6" t="inlineStr">
        <is>
          <t>INCORRECTO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D</t>
        </is>
      </c>
      <c r="T54" s="6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C</t>
        </is>
      </c>
      <c r="Z54" s="6" t="inlineStr">
        <is>
          <t>INCORRECTO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D</t>
        </is>
      </c>
      <c r="AD54" s="6" t="inlineStr">
        <is>
          <t>INCORRECTO</t>
        </is>
      </c>
      <c r="AE54" s="2" t="inlineStr">
        <is>
          <t>D</t>
        </is>
      </c>
      <c r="AF54" s="6" t="inlineStr">
        <is>
          <t>INCORRECTO</t>
        </is>
      </c>
      <c r="AG54" s="2" t="inlineStr">
        <is>
          <t>A</t>
        </is>
      </c>
      <c r="AH54" s="6" t="inlineStr">
        <is>
          <t>INCORRECTO</t>
        </is>
      </c>
      <c r="AI54" s="2" t="inlineStr">
        <is>
          <t>D</t>
        </is>
      </c>
      <c r="AJ54" s="6" t="inlineStr">
        <is>
          <t>INCORRECTO</t>
        </is>
      </c>
      <c r="AK54" s="2" t="inlineStr">
        <is>
          <t>C</t>
        </is>
      </c>
      <c r="AL54" s="6" t="inlineStr">
        <is>
          <t>INCORRECTO</t>
        </is>
      </c>
      <c r="AM54" s="2" t="inlineStr">
        <is>
          <t>B</t>
        </is>
      </c>
      <c r="AN54" s="6" t="inlineStr">
        <is>
          <t>INCORRECTO</t>
        </is>
      </c>
      <c r="AO54" s="2" t="inlineStr">
        <is>
          <t>C</t>
        </is>
      </c>
      <c r="AP54" s="6" t="inlineStr">
        <is>
          <t>INCORRECTO</t>
        </is>
      </c>
      <c r="AQ54" s="2" t="inlineStr">
        <is>
          <t>C</t>
        </is>
      </c>
      <c r="AR54" s="6" t="inlineStr">
        <is>
          <t>INCORRECTO</t>
        </is>
      </c>
      <c r="AS54" s="2" t="inlineStr">
        <is>
          <t>C</t>
        </is>
      </c>
      <c r="AT54" s="6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4">
        <f>COUNTIF(J54:AV54,"CORRECTO")</f>
        <v/>
      </c>
      <c r="AX54" s="4">
        <f>COUNTIF(J54:AV54,"INCORRECTO")</f>
        <v/>
      </c>
      <c r="AY54" s="4" t="n">
        <v>20</v>
      </c>
      <c r="AZ54" s="5">
        <f>AW54/AY54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WILMARY VICTORIA PEREIRA MERCHAN</t>
        </is>
      </c>
      <c r="E55" s="2" t="inlineStr">
        <is>
          <t>6464142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6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6" t="inlineStr">
        <is>
          <t>INCORRECTO</t>
        </is>
      </c>
      <c r="U55" s="2" t="inlineStr">
        <is>
          <t>B</t>
        </is>
      </c>
      <c r="V55" s="6" t="inlineStr">
        <is>
          <t>INCORRECTO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A</t>
        </is>
      </c>
      <c r="Z55" s="6" t="inlineStr">
        <is>
          <t>INCORRECTO</t>
        </is>
      </c>
      <c r="AA55" s="2" t="inlineStr">
        <is>
          <t>D</t>
        </is>
      </c>
      <c r="AB55" s="6" t="inlineStr">
        <is>
          <t>INCORRECTO</t>
        </is>
      </c>
      <c r="AC55" s="2" t="inlineStr">
        <is>
          <t>A</t>
        </is>
      </c>
      <c r="AD55" s="6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6" t="inlineStr">
        <is>
          <t>INCORRECTO</t>
        </is>
      </c>
      <c r="AO55" s="2" t="inlineStr">
        <is>
          <t>A</t>
        </is>
      </c>
      <c r="AP55" s="6" t="inlineStr">
        <is>
          <t>INCORRECTO</t>
        </is>
      </c>
      <c r="AQ55" s="2" t="inlineStr">
        <is>
          <t>A</t>
        </is>
      </c>
      <c r="AR55" s="6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4">
        <f>COUNTIF(J55:AV55,"CORRECTO")</f>
        <v/>
      </c>
      <c r="AX55" s="4">
        <f>COUNTIF(J55:AV55,"INCORRECTO")</f>
        <v/>
      </c>
      <c r="AY55" s="4" t="n">
        <v>20</v>
      </c>
      <c r="AZ55" s="5">
        <f>AW55/AY55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LIAH SAMANTHA MONTANEZ CHIRIBI</t>
        </is>
      </c>
      <c r="E56" s="2" t="inlineStr">
        <is>
          <t>1011230096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A</t>
        </is>
      </c>
      <c r="L56" s="6" t="inlineStr">
        <is>
          <t>INCORRECTO</t>
        </is>
      </c>
      <c r="M56" s="2" t="inlineStr">
        <is>
          <t>D</t>
        </is>
      </c>
      <c r="N56" s="6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6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A</t>
        </is>
      </c>
      <c r="X56" s="6" t="inlineStr">
        <is>
          <t>INCORRECTO</t>
        </is>
      </c>
      <c r="Y56" s="2" t="inlineStr">
        <is>
          <t>A</t>
        </is>
      </c>
      <c r="Z56" s="6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D</t>
        </is>
      </c>
      <c r="AF56" s="6" t="inlineStr">
        <is>
          <t>INCORRECTO</t>
        </is>
      </c>
      <c r="AG56" s="2" t="inlineStr">
        <is>
          <t>A</t>
        </is>
      </c>
      <c r="AH56" s="6" t="inlineStr">
        <is>
          <t>INCORRECTO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6" t="inlineStr">
        <is>
          <t>INCORRECTO</t>
        </is>
      </c>
      <c r="AM56" s="2" t="inlineStr">
        <is>
          <t>B</t>
        </is>
      </c>
      <c r="AN56" s="6" t="inlineStr">
        <is>
          <t>INCORRECTO</t>
        </is>
      </c>
      <c r="AO56" s="2" t="inlineStr">
        <is>
          <t>A</t>
        </is>
      </c>
      <c r="AP56" s="6" t="inlineStr">
        <is>
          <t>INCORRECTO</t>
        </is>
      </c>
      <c r="AQ56" s="2" t="inlineStr">
        <is>
          <t>B</t>
        </is>
      </c>
      <c r="AR56" s="6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4">
        <f>COUNTIF(J56:AV56,"CORRECTO")</f>
        <v/>
      </c>
      <c r="AX56" s="4">
        <f>COUNTIF(J56:AV56,"INCORRECTO")</f>
        <v/>
      </c>
      <c r="AY56" s="4" t="n">
        <v>20</v>
      </c>
      <c r="AZ56" s="5">
        <f>AW56/AY56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ISABELLA HERRAN CHAPARRO</t>
        </is>
      </c>
      <c r="E57" s="2" t="inlineStr">
        <is>
          <t>1030666627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6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6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6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D</t>
        </is>
      </c>
      <c r="X57" s="6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6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6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A</t>
        </is>
      </c>
      <c r="AP57" s="6" t="inlineStr">
        <is>
          <t>INCORRECTO</t>
        </is>
      </c>
      <c r="AQ57" s="2" t="inlineStr">
        <is>
          <t>C</t>
        </is>
      </c>
      <c r="AR57" s="6" t="inlineStr">
        <is>
          <t>INCORRECTO</t>
        </is>
      </c>
      <c r="AS57" s="2" t="inlineStr">
        <is>
          <t>A</t>
        </is>
      </c>
      <c r="AT57" s="6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4">
        <f>COUNTIF(J57:AV57,"CORRECTO")</f>
        <v/>
      </c>
      <c r="AX57" s="4">
        <f>COUNTIF(J57:AV57,"INCORRECTO")</f>
        <v/>
      </c>
      <c r="AY57" s="4" t="n">
        <v>20</v>
      </c>
      <c r="AZ57" s="5">
        <f>AW57/AY57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JUAN PABLO RIVERA ACEVEDO</t>
        </is>
      </c>
      <c r="E58" s="2" t="inlineStr">
        <is>
          <t>1141342595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D</t>
        </is>
      </c>
      <c r="L58" s="6" t="inlineStr">
        <is>
          <t>INCORRECTO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D</t>
        </is>
      </c>
      <c r="T58" s="6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6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6" t="inlineStr">
        <is>
          <t>INCORRECTO</t>
        </is>
      </c>
      <c r="AE58" s="2" t="inlineStr">
        <is>
          <t>D</t>
        </is>
      </c>
      <c r="AF58" s="6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6" t="inlineStr">
        <is>
          <t>INCORRECTO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6" t="inlineStr">
        <is>
          <t>INCORRECTO</t>
        </is>
      </c>
      <c r="AO58" s="2" t="inlineStr">
        <is>
          <t>D</t>
        </is>
      </c>
      <c r="AP58" s="6" t="inlineStr">
        <is>
          <t>INCORRECTO</t>
        </is>
      </c>
      <c r="AQ58" s="2" t="inlineStr">
        <is>
          <t>B</t>
        </is>
      </c>
      <c r="AR58" s="6" t="inlineStr">
        <is>
          <t>INCORRECTO</t>
        </is>
      </c>
      <c r="AS58" s="2" t="inlineStr">
        <is>
          <t>C</t>
        </is>
      </c>
      <c r="AT58" s="6" t="inlineStr">
        <is>
          <t>INCORRECTO</t>
        </is>
      </c>
      <c r="AU58" s="2" t="inlineStr">
        <is>
          <t>A</t>
        </is>
      </c>
      <c r="AV58" s="6" t="inlineStr">
        <is>
          <t>INCORRECTO</t>
        </is>
      </c>
      <c r="AW58" s="4">
        <f>COUNTIF(J58:AV58,"CORRECTO")</f>
        <v/>
      </c>
      <c r="AX58" s="4">
        <f>COUNTIF(J58:AV58,"INCORRECTO")</f>
        <v/>
      </c>
      <c r="AY58" s="4" t="n">
        <v>20</v>
      </c>
      <c r="AZ58" s="5">
        <f>AW58/AY58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SARA MARTINEZ CITTELLY</t>
        </is>
      </c>
      <c r="E59" s="2" t="inlineStr">
        <is>
          <t>1141343142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6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6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6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A</t>
        </is>
      </c>
      <c r="AP59" s="6" t="inlineStr">
        <is>
          <t>INCORRECTO</t>
        </is>
      </c>
      <c r="AQ59" s="2" t="inlineStr">
        <is>
          <t>A</t>
        </is>
      </c>
      <c r="AR59" s="6" t="inlineStr">
        <is>
          <t>INCORRECTO</t>
        </is>
      </c>
      <c r="AS59" s="2" t="inlineStr">
        <is>
          <t>A</t>
        </is>
      </c>
      <c r="AT59" s="6" t="inlineStr">
        <is>
          <t>INCORRECTO</t>
        </is>
      </c>
      <c r="AU59" s="2" t="inlineStr">
        <is>
          <t>A</t>
        </is>
      </c>
      <c r="AV59" s="6" t="inlineStr">
        <is>
          <t>INCORRECTO</t>
        </is>
      </c>
      <c r="AW59" s="4">
        <f>COUNTIF(J59:AV59,"CORRECTO")</f>
        <v/>
      </c>
      <c r="AX59" s="4">
        <f>COUNTIF(J59:AV59,"INCORRECTO")</f>
        <v/>
      </c>
      <c r="AY59" s="4" t="n">
        <v>20</v>
      </c>
      <c r="AZ59" s="5">
        <f>AW59/AY59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JULIAN FELIPE JIMENEZ TORRES</t>
        </is>
      </c>
      <c r="E60" s="2" t="inlineStr">
        <is>
          <t>1011232532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6" t="inlineStr">
        <is>
          <t>INCORRECTO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D</t>
        </is>
      </c>
      <c r="T60" s="6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B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A</t>
        </is>
      </c>
      <c r="AH60" s="6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A</t>
        </is>
      </c>
      <c r="AN60" s="3" t="inlineStr">
        <is>
          <t>CORRECTO</t>
        </is>
      </c>
      <c r="AO60" s="2" t="inlineStr">
        <is>
          <t>A</t>
        </is>
      </c>
      <c r="AP60" s="6" t="inlineStr">
        <is>
          <t>INCORRECTO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4">
        <f>COUNTIF(J60:AV60,"CORRECTO")</f>
        <v/>
      </c>
      <c r="AX60" s="4">
        <f>COUNTIF(J60:AV60,"INCORRECTO")</f>
        <v/>
      </c>
      <c r="AY60" s="4" t="n">
        <v>20</v>
      </c>
      <c r="AZ60" s="5">
        <f>AW60/AY60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MARIA PAULA TORRES PARDO</t>
        </is>
      </c>
      <c r="E61" s="2" t="inlineStr">
        <is>
          <t>1034786765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6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D</t>
        </is>
      </c>
      <c r="AF61" s="6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6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6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A</t>
        </is>
      </c>
      <c r="AT61" s="6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4">
        <f>COUNTIF(J61:AV61,"CORRECTO")</f>
        <v/>
      </c>
      <c r="AX61" s="4">
        <f>COUNTIF(J61:AV61,"INCORRECTO")</f>
        <v/>
      </c>
      <c r="AY61" s="4" t="n">
        <v>20</v>
      </c>
      <c r="AZ61" s="5">
        <f>AW61/AY61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MIGUEL ANGEL PARRA CASALLAS</t>
        </is>
      </c>
      <c r="E62" s="2" t="inlineStr">
        <is>
          <t>1012422591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6" t="inlineStr">
        <is>
          <t>INCORRECTO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6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D</t>
        </is>
      </c>
      <c r="X62" s="6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6" t="inlineStr">
        <is>
          <t>INCORRECTO</t>
        </is>
      </c>
      <c r="AE62" s="2" t="inlineStr">
        <is>
          <t>D</t>
        </is>
      </c>
      <c r="AF62" s="6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6" t="inlineStr">
        <is>
          <t>INCORRECTO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B</t>
        </is>
      </c>
      <c r="AN62" s="6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C</t>
        </is>
      </c>
      <c r="AT62" s="6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4">
        <f>COUNTIF(J62:AV62,"CORRECTO")</f>
        <v/>
      </c>
      <c r="AX62" s="4">
        <f>COUNTIF(J62:AV62,"INCORRECTO")</f>
        <v/>
      </c>
      <c r="AY62" s="4" t="n">
        <v>20</v>
      </c>
      <c r="AZ62" s="5">
        <f>AW62/AY62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NOAH XAVIER PEDROZA ALVAREZ</t>
        </is>
      </c>
      <c r="E63" s="2" t="inlineStr">
        <is>
          <t>1034668200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6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6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C</t>
        </is>
      </c>
      <c r="Z63" s="6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6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6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6" t="inlineStr">
        <is>
          <t>INCORRECTO</t>
        </is>
      </c>
      <c r="AO63" s="2" t="inlineStr">
        <is>
          <t>A</t>
        </is>
      </c>
      <c r="AP63" s="6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6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4">
        <f>COUNTIF(J63:AV63,"CORRECTO")</f>
        <v/>
      </c>
      <c r="AX63" s="4">
        <f>COUNTIF(J63:AV63,"INCORRECTO")</f>
        <v/>
      </c>
      <c r="AY63" s="4" t="n">
        <v>20</v>
      </c>
      <c r="AZ63" s="5">
        <f>AW63/AY63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SAMUEL ALEJANDRO PAEZ BELTRAN</t>
        </is>
      </c>
      <c r="E64" s="2" t="inlineStr">
        <is>
          <t>1222204973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6" t="inlineStr">
        <is>
          <t>INCORRECTO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D</t>
        </is>
      </c>
      <c r="T64" s="6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B</t>
        </is>
      </c>
      <c r="X64" s="3" t="inlineStr">
        <is>
          <t>CORRECTO</t>
        </is>
      </c>
      <c r="Y64" s="2" t="inlineStr">
        <is>
          <t>A</t>
        </is>
      </c>
      <c r="Z64" s="6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A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6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6" t="inlineStr">
        <is>
          <t>INCORRECTO</t>
        </is>
      </c>
      <c r="AO64" s="2" t="inlineStr">
        <is>
          <t>A</t>
        </is>
      </c>
      <c r="AP64" s="6" t="inlineStr">
        <is>
          <t>INCORRECTO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D</t>
        </is>
      </c>
      <c r="AT64" s="6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4">
        <f>COUNTIF(J64:AV64,"CORRECTO")</f>
        <v/>
      </c>
      <c r="AX64" s="4">
        <f>COUNTIF(J64:AV64,"INCORRECTO")</f>
        <v/>
      </c>
      <c r="AY64" s="4" t="n">
        <v>20</v>
      </c>
      <c r="AZ64" s="5">
        <f>AW64/AY64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MIGUEL ANGEL DIAZ LOMBO</t>
        </is>
      </c>
      <c r="E65" s="2" t="inlineStr">
        <is>
          <t>1011227836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A</t>
        </is>
      </c>
      <c r="L65" s="6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6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6" t="inlineStr">
        <is>
          <t>INCORRECTO</t>
        </is>
      </c>
      <c r="AE65" s="2" t="inlineStr">
        <is>
          <t>C</t>
        </is>
      </c>
      <c r="AF65" s="6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6" t="inlineStr">
        <is>
          <t>INCORRECTO</t>
        </is>
      </c>
      <c r="AK65" s="2" t="inlineStr">
        <is>
          <t>B</t>
        </is>
      </c>
      <c r="AL65" s="6" t="inlineStr">
        <is>
          <t>INCORRECTO</t>
        </is>
      </c>
      <c r="AM65" s="2" t="inlineStr">
        <is>
          <t>B</t>
        </is>
      </c>
      <c r="AN65" s="6" t="inlineStr">
        <is>
          <t>INCORRECTO</t>
        </is>
      </c>
      <c r="AO65" s="2" t="inlineStr">
        <is>
          <t>A</t>
        </is>
      </c>
      <c r="AP65" s="6" t="inlineStr">
        <is>
          <t>INCORRECTO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A</t>
        </is>
      </c>
      <c r="AT65" s="6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4">
        <f>COUNTIF(J65:AV65,"CORRECTO")</f>
        <v/>
      </c>
      <c r="AX65" s="4">
        <f>COUNTIF(J65:AV65,"INCORRECTO")</f>
        <v/>
      </c>
      <c r="AY65" s="4" t="n">
        <v>20</v>
      </c>
      <c r="AZ65" s="5">
        <f>AW65/AY65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DANNA VALENTINA BARRETO GUERRERO</t>
        </is>
      </c>
      <c r="E66" s="2" t="inlineStr">
        <is>
          <t>1016082489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6" t="inlineStr">
        <is>
          <t>INCORRECTO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6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6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4">
        <f>COUNTIF(J66:AV66,"CORRECTO")</f>
        <v/>
      </c>
      <c r="AX66" s="4">
        <f>COUNTIF(J66:AV66,"INCORRECTO")</f>
        <v/>
      </c>
      <c r="AY66" s="4" t="n">
        <v>20</v>
      </c>
      <c r="AZ66" s="5">
        <f>AW66/AY66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JUAN SANTIAGO RODRIGUEZ ROBAYO</t>
        </is>
      </c>
      <c r="E67" s="2" t="inlineStr">
        <is>
          <t>1011230973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6" t="inlineStr">
        <is>
          <t>INCORRECTO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D</t>
        </is>
      </c>
      <c r="T67" s="6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A</t>
        </is>
      </c>
      <c r="Z67" s="6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D</t>
        </is>
      </c>
      <c r="AF67" s="6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D</t>
        </is>
      </c>
      <c r="AJ67" s="6" t="inlineStr">
        <is>
          <t>INCORRECTO</t>
        </is>
      </c>
      <c r="AK67" s="2" t="inlineStr">
        <is>
          <t>B</t>
        </is>
      </c>
      <c r="AL67" s="6" t="inlineStr">
        <is>
          <t>INCORRECTO</t>
        </is>
      </c>
      <c r="AM67" s="2" t="inlineStr">
        <is>
          <t>C</t>
        </is>
      </c>
      <c r="AN67" s="6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C</t>
        </is>
      </c>
      <c r="AR67" s="6" t="inlineStr">
        <is>
          <t>INCORRECTO</t>
        </is>
      </c>
      <c r="AS67" s="2" t="inlineStr">
        <is>
          <t>A</t>
        </is>
      </c>
      <c r="AT67" s="6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4">
        <f>COUNTIF(J67:AV67,"CORRECTO")</f>
        <v/>
      </c>
      <c r="AX67" s="4">
        <f>COUNTIF(J67:AV67,"INCORRECTO")</f>
        <v/>
      </c>
      <c r="AY67" s="4" t="n">
        <v>20</v>
      </c>
      <c r="AZ67" s="5">
        <f>AW67/AY67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ISABELLA SANCHEZ RODRIGUEZ</t>
        </is>
      </c>
      <c r="E68" s="2" t="inlineStr">
        <is>
          <t>1141343973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6" t="inlineStr">
        <is>
          <t>INCORRECTO</t>
        </is>
      </c>
      <c r="M68" s="2" t="inlineStr">
        <is>
          <t>C</t>
        </is>
      </c>
      <c r="N68" s="6" t="inlineStr">
        <is>
          <t>INCORRECTO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6" t="inlineStr">
        <is>
          <t>INCORRECTO</t>
        </is>
      </c>
      <c r="U68" s="2" t="inlineStr">
        <is>
          <t>A</t>
        </is>
      </c>
      <c r="V68" s="6" t="inlineStr">
        <is>
          <t>INCORRECTO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A</t>
        </is>
      </c>
      <c r="Z68" s="6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6" t="inlineStr">
        <is>
          <t>INCORRECTO</t>
        </is>
      </c>
      <c r="AE68" s="2" t="inlineStr">
        <is>
          <t>B</t>
        </is>
      </c>
      <c r="AF68" s="6" t="inlineStr">
        <is>
          <t>INCORRECTO</t>
        </is>
      </c>
      <c r="AG68" s="2" t="inlineStr">
        <is>
          <t>B</t>
        </is>
      </c>
      <c r="AH68" s="6" t="inlineStr">
        <is>
          <t>INCORRECTO</t>
        </is>
      </c>
      <c r="AI68" s="2" t="inlineStr">
        <is>
          <t>D</t>
        </is>
      </c>
      <c r="AJ68" s="6" t="inlineStr">
        <is>
          <t>INCORRECTO</t>
        </is>
      </c>
      <c r="AK68" s="2" t="inlineStr">
        <is>
          <t>C</t>
        </is>
      </c>
      <c r="AL68" s="6" t="inlineStr">
        <is>
          <t>INCORRECTO</t>
        </is>
      </c>
      <c r="AM68" s="2" t="inlineStr">
        <is>
          <t>D</t>
        </is>
      </c>
      <c r="AN68" s="6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C</t>
        </is>
      </c>
      <c r="AR68" s="6" t="inlineStr">
        <is>
          <t>INCORRECTO</t>
        </is>
      </c>
      <c r="AS68" s="2" t="inlineStr">
        <is>
          <t>A</t>
        </is>
      </c>
      <c r="AT68" s="6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4">
        <f>COUNTIF(J68:AV68,"CORRECTO")</f>
        <v/>
      </c>
      <c r="AX68" s="4">
        <f>COUNTIF(J68:AV68,"INCORRECTO")</f>
        <v/>
      </c>
      <c r="AY68" s="4" t="n">
        <v>20</v>
      </c>
      <c r="AZ68" s="5">
        <f>AW68/AY68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MARIA CAMILA VARGAS GONZALEZ</t>
        </is>
      </c>
      <c r="E69" s="2" t="inlineStr">
        <is>
          <t>1027290290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6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6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6" t="inlineStr">
        <is>
          <t>INCORRECTO</t>
        </is>
      </c>
      <c r="AG69" s="2" t="inlineStr">
        <is>
          <t>B</t>
        </is>
      </c>
      <c r="AH69" s="6" t="inlineStr">
        <is>
          <t>INCORRECTO</t>
        </is>
      </c>
      <c r="AI69" s="2" t="inlineStr">
        <is>
          <t>B</t>
        </is>
      </c>
      <c r="AJ69" s="6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A</t>
        </is>
      </c>
      <c r="AT69" s="6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4">
        <f>COUNTIF(J69:AV69,"CORRECTO")</f>
        <v/>
      </c>
      <c r="AX69" s="4">
        <f>COUNTIF(J69:AV69,"INCORRECTO")</f>
        <v/>
      </c>
      <c r="AY69" s="4" t="n">
        <v>20</v>
      </c>
      <c r="AZ69" s="5">
        <f>AW69/AY69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MATEO CRUZ REYES</t>
        </is>
      </c>
      <c r="E70" s="2" t="inlineStr">
        <is>
          <t>1097123955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D</t>
        </is>
      </c>
      <c r="L70" s="6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B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A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6" t="inlineStr">
        <is>
          <t>INCORRECTO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A</t>
        </is>
      </c>
      <c r="AN70" s="3" t="inlineStr">
        <is>
          <t>CORRECTO</t>
        </is>
      </c>
      <c r="AO70" s="2" t="inlineStr">
        <is>
          <t>C</t>
        </is>
      </c>
      <c r="AP70" s="6" t="inlineStr">
        <is>
          <t>INCORRECTO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A</t>
        </is>
      </c>
      <c r="AT70" s="6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4">
        <f>COUNTIF(J70:AV70,"CORRECTO")</f>
        <v/>
      </c>
      <c r="AX70" s="4">
        <f>COUNTIF(J70:AV70,"INCORRECTO")</f>
        <v/>
      </c>
      <c r="AY70" s="4" t="n">
        <v>20</v>
      </c>
      <c r="AZ70" s="5">
        <f>AW70/AY70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KEVIN JAVIER ARROYAVE SANCHEZ</t>
        </is>
      </c>
      <c r="E71" s="2" t="inlineStr">
        <is>
          <t>1141342715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6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6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D</t>
        </is>
      </c>
      <c r="AB71" s="6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D</t>
        </is>
      </c>
      <c r="AF71" s="6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6" t="inlineStr">
        <is>
          <t>INCORRECTO</t>
        </is>
      </c>
      <c r="AO71" s="2" t="inlineStr">
        <is>
          <t>A</t>
        </is>
      </c>
      <c r="AP71" s="6" t="inlineStr">
        <is>
          <t>INCORRECTO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A</t>
        </is>
      </c>
      <c r="AT71" s="6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4">
        <f>COUNTIF(J71:AV71,"CORRECTO")</f>
        <v/>
      </c>
      <c r="AX71" s="4">
        <f>COUNTIF(J71:AV71,"INCORRECTO")</f>
        <v/>
      </c>
      <c r="AY71" s="4" t="n">
        <v>20</v>
      </c>
      <c r="AZ71" s="5">
        <f>AW71/AY71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THOMAS ORJUELA PEÑA</t>
        </is>
      </c>
      <c r="E72" s="2" t="inlineStr">
        <is>
          <t>1020001351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D</t>
        </is>
      </c>
      <c r="L72" s="6" t="inlineStr">
        <is>
          <t>INCORRECTO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B</t>
        </is>
      </c>
      <c r="P72" s="6" t="inlineStr">
        <is>
          <t>INCORRECTO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C</t>
        </is>
      </c>
      <c r="T72" s="6" t="inlineStr">
        <is>
          <t>INCORRECTO</t>
        </is>
      </c>
      <c r="U72" s="2" t="inlineStr">
        <is>
          <t>B</t>
        </is>
      </c>
      <c r="V72" s="6" t="inlineStr">
        <is>
          <t>INCORRECTO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D</t>
        </is>
      </c>
      <c r="Z72" s="6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6" t="inlineStr">
        <is>
          <t>INCORRECTO</t>
        </is>
      </c>
      <c r="AG72" s="2" t="inlineStr">
        <is>
          <t>D</t>
        </is>
      </c>
      <c r="AH72" s="6" t="inlineStr">
        <is>
          <t>INCORRECTO</t>
        </is>
      </c>
      <c r="AI72" s="2" t="inlineStr">
        <is>
          <t>D</t>
        </is>
      </c>
      <c r="AJ72" s="6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A</t>
        </is>
      </c>
      <c r="AP72" s="6" t="inlineStr">
        <is>
          <t>INCORRECTO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4">
        <f>COUNTIF(J72:AV72,"CORRECTO")</f>
        <v/>
      </c>
      <c r="AX72" s="4">
        <f>COUNTIF(J72:AV72,"INCORRECTO")</f>
        <v/>
      </c>
      <c r="AY72" s="4" t="n">
        <v>20</v>
      </c>
      <c r="AZ72" s="5">
        <f>AW72/AY72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ANTHONY DAVID MARIN PEÑA</t>
        </is>
      </c>
      <c r="E73" s="2" t="inlineStr">
        <is>
          <t>1141342904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D</t>
        </is>
      </c>
      <c r="L73" s="6" t="inlineStr">
        <is>
          <t>INCORRECTO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C</t>
        </is>
      </c>
      <c r="T73" s="6" t="inlineStr">
        <is>
          <t>INCORRECTO</t>
        </is>
      </c>
      <c r="U73" s="2" t="inlineStr">
        <is>
          <t>B</t>
        </is>
      </c>
      <c r="V73" s="6" t="inlineStr">
        <is>
          <t>INCORRECTO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6" t="inlineStr">
        <is>
          <t>INCORRECTO</t>
        </is>
      </c>
      <c r="AE73" s="2" t="inlineStr">
        <is>
          <t>D</t>
        </is>
      </c>
      <c r="AF73" s="6" t="inlineStr">
        <is>
          <t>INCORRECTO</t>
        </is>
      </c>
      <c r="AG73" s="2" t="inlineStr">
        <is>
          <t>A</t>
        </is>
      </c>
      <c r="AH73" s="6" t="inlineStr">
        <is>
          <t>INCORRECTO</t>
        </is>
      </c>
      <c r="AI73" s="2" t="inlineStr">
        <is>
          <t>B</t>
        </is>
      </c>
      <c r="AJ73" s="6" t="inlineStr">
        <is>
          <t>INCORRECTO</t>
        </is>
      </c>
      <c r="AK73" s="2" t="inlineStr">
        <is>
          <t>C</t>
        </is>
      </c>
      <c r="AL73" s="6" t="inlineStr">
        <is>
          <t>INCORRECTO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A</t>
        </is>
      </c>
      <c r="AP73" s="6" t="inlineStr">
        <is>
          <t>INCORRECTO</t>
        </is>
      </c>
      <c r="AQ73" s="2" t="inlineStr">
        <is>
          <t>A</t>
        </is>
      </c>
      <c r="AR73" s="6" t="inlineStr">
        <is>
          <t>INCORRECTO</t>
        </is>
      </c>
      <c r="AS73" s="2" t="inlineStr">
        <is>
          <t>A</t>
        </is>
      </c>
      <c r="AT73" s="6" t="inlineStr">
        <is>
          <t>INCORRECTO</t>
        </is>
      </c>
      <c r="AU73" s="2" t="inlineStr">
        <is>
          <t>A</t>
        </is>
      </c>
      <c r="AV73" s="6" t="inlineStr">
        <is>
          <t>INCORRECTO</t>
        </is>
      </c>
      <c r="AW73" s="4">
        <f>COUNTIF(J73:AV73,"CORRECTO")</f>
        <v/>
      </c>
      <c r="AX73" s="4">
        <f>COUNTIF(J73:AV73,"INCORRECTO")</f>
        <v/>
      </c>
      <c r="AY73" s="4" t="n">
        <v>20</v>
      </c>
      <c r="AZ73" s="5">
        <f>AW73/AY73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JUAN PABLO FONSECA BOLIVAR</t>
        </is>
      </c>
      <c r="E74" s="2" t="inlineStr">
        <is>
          <t>1034786580</t>
        </is>
      </c>
      <c r="F74" s="2" t="n">
        <v>7</v>
      </c>
      <c r="G74" s="2" t="n">
        <v>701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D</t>
        </is>
      </c>
      <c r="T74" s="6" t="inlineStr">
        <is>
          <t>INCORRECTO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B</t>
        </is>
      </c>
      <c r="X74" s="3" t="inlineStr">
        <is>
          <t>CORRECTO</t>
        </is>
      </c>
      <c r="Y74" s="2" t="inlineStr">
        <is>
          <t>A</t>
        </is>
      </c>
      <c r="Z74" s="6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D</t>
        </is>
      </c>
      <c r="AD74" s="6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B</t>
        </is>
      </c>
      <c r="AH74" s="6" t="inlineStr">
        <is>
          <t>INCORRECTO</t>
        </is>
      </c>
      <c r="AI74" s="2" t="inlineStr">
        <is>
          <t>A</t>
        </is>
      </c>
      <c r="AJ74" s="6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6" t="inlineStr">
        <is>
          <t>INCORRECTO</t>
        </is>
      </c>
      <c r="AO74" s="2" t="inlineStr">
        <is>
          <t>D</t>
        </is>
      </c>
      <c r="AP74" s="6" t="inlineStr">
        <is>
          <t>INCORRECTO</t>
        </is>
      </c>
      <c r="AQ74" s="2" t="inlineStr">
        <is>
          <t>B</t>
        </is>
      </c>
      <c r="AR74" s="6" t="inlineStr">
        <is>
          <t>INCORRECTO</t>
        </is>
      </c>
      <c r="AS74" s="2" t="inlineStr">
        <is>
          <t>C</t>
        </is>
      </c>
      <c r="AT74" s="6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4">
        <f>COUNTIF(J74:AV74,"CORRECTO")</f>
        <v/>
      </c>
      <c r="AX74" s="4">
        <f>COUNTIF(J74:AV74,"INCORRECTO")</f>
        <v/>
      </c>
      <c r="AY74" s="4" t="n">
        <v>20</v>
      </c>
      <c r="AZ74" s="5">
        <f>AW74/AY74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JUANITA SANCHEZ DAZA</t>
        </is>
      </c>
      <c r="E75" s="2" t="inlineStr">
        <is>
          <t>1028789703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6" t="inlineStr">
        <is>
          <t>INCORRECTO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D</t>
        </is>
      </c>
      <c r="T75" s="6" t="inlineStr">
        <is>
          <t>INCORRECTO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A</t>
        </is>
      </c>
      <c r="Z75" s="6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D</t>
        </is>
      </c>
      <c r="AD75" s="6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B</t>
        </is>
      </c>
      <c r="AH75" s="6" t="inlineStr">
        <is>
          <t>INCORRECTO</t>
        </is>
      </c>
      <c r="AI75" s="2" t="inlineStr">
        <is>
          <t>A</t>
        </is>
      </c>
      <c r="AJ75" s="6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B</t>
        </is>
      </c>
      <c r="AN75" s="6" t="inlineStr">
        <is>
          <t>INCORRECTO</t>
        </is>
      </c>
      <c r="AO75" s="2" t="inlineStr">
        <is>
          <t>D</t>
        </is>
      </c>
      <c r="AP75" s="6" t="inlineStr">
        <is>
          <t>INCORRECTO</t>
        </is>
      </c>
      <c r="AQ75" s="2" t="inlineStr">
        <is>
          <t>B</t>
        </is>
      </c>
      <c r="AR75" s="6" t="inlineStr">
        <is>
          <t>INCORRECTO</t>
        </is>
      </c>
      <c r="AS75" s="2" t="inlineStr">
        <is>
          <t>C</t>
        </is>
      </c>
      <c r="AT75" s="6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4">
        <f>COUNTIF(J75:AV75,"CORRECTO")</f>
        <v/>
      </c>
      <c r="AX75" s="4">
        <f>COUNTIF(J75:AV75,"INCORRECTO")</f>
        <v/>
      </c>
      <c r="AY75" s="4" t="n">
        <v>20</v>
      </c>
      <c r="AZ75" s="5">
        <f>AW75/AY75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WILLIAN ESTIBEN BERNAL BERNAL</t>
        </is>
      </c>
      <c r="E76" s="2" t="inlineStr">
        <is>
          <t>1050672675</t>
        </is>
      </c>
      <c r="F76" s="2" t="n">
        <v>7</v>
      </c>
      <c r="G76" s="2" t="n">
        <v>701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D</t>
        </is>
      </c>
      <c r="L76" s="6" t="inlineStr">
        <is>
          <t>INCORRECTO</t>
        </is>
      </c>
      <c r="M76" s="2" t="inlineStr">
        <is>
          <t>A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A</t>
        </is>
      </c>
      <c r="R76" s="6" t="inlineStr">
        <is>
          <t>INCORRECTO</t>
        </is>
      </c>
      <c r="S76" s="2" t="inlineStr">
        <is>
          <t>B</t>
        </is>
      </c>
      <c r="T76" s="6" t="inlineStr">
        <is>
          <t>INCORRECTO</t>
        </is>
      </c>
      <c r="U76" s="2" t="inlineStr">
        <is>
          <t>B</t>
        </is>
      </c>
      <c r="V76" s="6" t="inlineStr">
        <is>
          <t>INCORRECTO</t>
        </is>
      </c>
      <c r="W76" s="2" t="inlineStr">
        <is>
          <t>A</t>
        </is>
      </c>
      <c r="X76" s="6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D</t>
        </is>
      </c>
      <c r="AD76" s="6" t="inlineStr">
        <is>
          <t>INCORRECTO</t>
        </is>
      </c>
      <c r="AE76" s="2" t="inlineStr">
        <is>
          <t>A</t>
        </is>
      </c>
      <c r="AF76" s="3" t="inlineStr">
        <is>
          <t>CORRECTO</t>
        </is>
      </c>
      <c r="AG76" s="2" t="inlineStr">
        <is>
          <t>B</t>
        </is>
      </c>
      <c r="AH76" s="6" t="inlineStr">
        <is>
          <t>INCORRECTO</t>
        </is>
      </c>
      <c r="AI76" s="2" t="inlineStr">
        <is>
          <t>A</t>
        </is>
      </c>
      <c r="AJ76" s="6" t="inlineStr">
        <is>
          <t>INCORRECTO</t>
        </is>
      </c>
      <c r="AK76" s="2" t="inlineStr">
        <is>
          <t>C</t>
        </is>
      </c>
      <c r="AL76" s="6" t="inlineStr">
        <is>
          <t>INCORRECTO</t>
        </is>
      </c>
      <c r="AM76" s="2" t="inlineStr">
        <is>
          <t>D</t>
        </is>
      </c>
      <c r="AN76" s="6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C</t>
        </is>
      </c>
      <c r="AR76" s="6" t="inlineStr">
        <is>
          <t>INCORRECTO</t>
        </is>
      </c>
      <c r="AS76" s="2" t="inlineStr">
        <is>
          <t>A</t>
        </is>
      </c>
      <c r="AT76" s="6" t="inlineStr">
        <is>
          <t>INCORRECTO</t>
        </is>
      </c>
      <c r="AU76" s="2" t="inlineStr">
        <is>
          <t>D</t>
        </is>
      </c>
      <c r="AV76" s="6" t="inlineStr">
        <is>
          <t>INCORRECTO</t>
        </is>
      </c>
      <c r="AW76" s="4">
        <f>COUNTIF(J76:AV76,"CORRECTO")</f>
        <v/>
      </c>
      <c r="AX76" s="4">
        <f>COUNTIF(J76:AV76,"INCORRECTO")</f>
        <v/>
      </c>
      <c r="AY76" s="4" t="n">
        <v>20</v>
      </c>
      <c r="AZ76" s="5">
        <f>AW76/AY76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DANNA NICOLLE APONTE DUQUE</t>
        </is>
      </c>
      <c r="E77" s="2" t="inlineStr">
        <is>
          <t>1013665912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A</t>
        </is>
      </c>
      <c r="L77" s="6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D</t>
        </is>
      </c>
      <c r="T77" s="6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A</t>
        </is>
      </c>
      <c r="AD77" s="6" t="inlineStr">
        <is>
          <t>INCORRECTO</t>
        </is>
      </c>
      <c r="AE77" s="2" t="inlineStr">
        <is>
          <t>D</t>
        </is>
      </c>
      <c r="AF77" s="6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D</t>
        </is>
      </c>
      <c r="AJ77" s="6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A</t>
        </is>
      </c>
      <c r="AP77" s="6" t="inlineStr">
        <is>
          <t>INCORRECTO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A</t>
        </is>
      </c>
      <c r="AT77" s="6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4">
        <f>COUNTIF(J77:AV77,"CORRECTO")</f>
        <v/>
      </c>
      <c r="AX77" s="4">
        <f>COUNTIF(J77:AV77,"INCORRECTO")</f>
        <v/>
      </c>
      <c r="AY77" s="4" t="n">
        <v>20</v>
      </c>
      <c r="AZ77" s="5">
        <f>AW77/AY77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JACOBO ALBARRACIN CAMELO</t>
        </is>
      </c>
      <c r="E78" s="2" t="inlineStr">
        <is>
          <t>1022410631</t>
        </is>
      </c>
      <c r="F78" s="2" t="n">
        <v>7</v>
      </c>
      <c r="G78" s="2" t="n">
        <v>701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6" t="inlineStr">
        <is>
          <t>INCORRECTO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D</t>
        </is>
      </c>
      <c r="T78" s="6" t="inlineStr">
        <is>
          <t>INCORRECTO</t>
        </is>
      </c>
      <c r="U78" s="2" t="inlineStr">
        <is>
          <t>B</t>
        </is>
      </c>
      <c r="V78" s="6" t="inlineStr">
        <is>
          <t>INCORRECTO</t>
        </is>
      </c>
      <c r="W78" s="2" t="inlineStr">
        <is>
          <t>B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6" t="inlineStr">
        <is>
          <t>INCORRECTO</t>
        </is>
      </c>
      <c r="AE78" s="2" t="inlineStr">
        <is>
          <t>D</t>
        </is>
      </c>
      <c r="AF78" s="6" t="inlineStr">
        <is>
          <t>INCORRECTO</t>
        </is>
      </c>
      <c r="AG78" s="2" t="inlineStr">
        <is>
          <t>D</t>
        </is>
      </c>
      <c r="AH78" s="6" t="inlineStr">
        <is>
          <t>INCORRECTO</t>
        </is>
      </c>
      <c r="AI78" s="2" t="inlineStr">
        <is>
          <t>B</t>
        </is>
      </c>
      <c r="AJ78" s="6" t="inlineStr">
        <is>
          <t>INCORRECTO</t>
        </is>
      </c>
      <c r="AK78" s="2" t="inlineStr"/>
      <c r="AL78" s="6" t="inlineStr">
        <is>
          <t>INCORRECTO</t>
        </is>
      </c>
      <c r="AM78" s="2" t="inlineStr">
        <is>
          <t>B</t>
        </is>
      </c>
      <c r="AN78" s="6" t="inlineStr">
        <is>
          <t>INCORRECTO</t>
        </is>
      </c>
      <c r="AO78" s="2" t="inlineStr">
        <is>
          <t>D</t>
        </is>
      </c>
      <c r="AP78" s="6" t="inlineStr">
        <is>
          <t>INCORRECTO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4">
        <f>COUNTIF(J78:AV78,"CORRECTO")</f>
        <v/>
      </c>
      <c r="AX78" s="4">
        <f>COUNTIF(J78:AV78,"INCORRECTO")</f>
        <v/>
      </c>
      <c r="AY78" s="4" t="n">
        <v>20</v>
      </c>
      <c r="AZ78" s="5">
        <f>AW78/AY78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SANTIAGO SANCHEZ CAMACHO</t>
        </is>
      </c>
      <c r="E79" s="2" t="inlineStr">
        <is>
          <t>1014996434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6" t="inlineStr">
        <is>
          <t>INCORRECTO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B</t>
        </is>
      </c>
      <c r="AF79" s="6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6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D</t>
        </is>
      </c>
      <c r="AP79" s="6" t="inlineStr">
        <is>
          <t>INCORRECTO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C</t>
        </is>
      </c>
      <c r="AT79" s="6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4">
        <f>COUNTIF(J79:AV79,"CORRECTO")</f>
        <v/>
      </c>
      <c r="AX79" s="4">
        <f>COUNTIF(J79:AV79,"INCORRECTO")</f>
        <v/>
      </c>
      <c r="AY79" s="4" t="n">
        <v>20</v>
      </c>
      <c r="AZ79" s="5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IAN NICOLAS VARGAS GARCIA</t>
        </is>
      </c>
      <c r="E80" s="2" t="inlineStr">
        <is>
          <t>1146130328</t>
        </is>
      </c>
      <c r="F80" s="2" t="n">
        <v>7</v>
      </c>
      <c r="G80" s="2" t="n">
        <v>701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6" t="inlineStr">
        <is>
          <t>INCORRECTO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D</t>
        </is>
      </c>
      <c r="T80" s="6" t="inlineStr">
        <is>
          <t>INCORRECTO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D</t>
        </is>
      </c>
      <c r="X80" s="6" t="inlineStr">
        <is>
          <t>INCORRECTO</t>
        </is>
      </c>
      <c r="Y80" s="2" t="inlineStr">
        <is>
          <t>D</t>
        </is>
      </c>
      <c r="Z80" s="6" t="inlineStr">
        <is>
          <t>INCORRECTO</t>
        </is>
      </c>
      <c r="AA80" s="2" t="inlineStr">
        <is>
          <t>C</t>
        </is>
      </c>
      <c r="AB80" s="6" t="inlineStr">
        <is>
          <t>INCORRECTO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A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6" t="inlineStr">
        <is>
          <t>INCORRECTO</t>
        </is>
      </c>
      <c r="AK80" s="2" t="inlineStr">
        <is>
          <t>A</t>
        </is>
      </c>
      <c r="AL80" s="3" t="inlineStr">
        <is>
          <t>CORRECTO</t>
        </is>
      </c>
      <c r="AM80" s="2" t="inlineStr">
        <is>
          <t>B</t>
        </is>
      </c>
      <c r="AN80" s="6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D</t>
        </is>
      </c>
      <c r="AR80" s="3" t="inlineStr">
        <is>
          <t>CORRECTO</t>
        </is>
      </c>
      <c r="AS80" s="2" t="inlineStr">
        <is>
          <t>A</t>
        </is>
      </c>
      <c r="AT80" s="6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4">
        <f>COUNTIF(J80:AV80,"CORRECTO")</f>
        <v/>
      </c>
      <c r="AX80" s="4">
        <f>COUNTIF(J80:AV80,"INCORRECTO")</f>
        <v/>
      </c>
      <c r="AY80" s="4" t="n">
        <v>20</v>
      </c>
      <c r="AZ80" s="5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GABRIELLA PALMERA VASQUEZ</t>
        </is>
      </c>
      <c r="E81" s="2" t="inlineStr">
        <is>
          <t>1147488830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6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6" t="inlineStr">
        <is>
          <t>INCORRECTO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C</t>
        </is>
      </c>
      <c r="Z81" s="6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6" t="inlineStr">
        <is>
          <t>INCORRECTO</t>
        </is>
      </c>
      <c r="AE81" s="2" t="inlineStr">
        <is>
          <t>D</t>
        </is>
      </c>
      <c r="AF81" s="6" t="inlineStr">
        <is>
          <t>INCORRECTO</t>
        </is>
      </c>
      <c r="AG81" s="2" t="inlineStr">
        <is>
          <t>B</t>
        </is>
      </c>
      <c r="AH81" s="6" t="inlineStr">
        <is>
          <t>INCORRECTO</t>
        </is>
      </c>
      <c r="AI81" s="2" t="inlineStr">
        <is>
          <t>A</t>
        </is>
      </c>
      <c r="AJ81" s="6" t="inlineStr">
        <is>
          <t>INCORRECTO</t>
        </is>
      </c>
      <c r="AK81" s="2" t="inlineStr">
        <is>
          <t>C</t>
        </is>
      </c>
      <c r="AL81" s="6" t="inlineStr">
        <is>
          <t>INCORRECTO</t>
        </is>
      </c>
      <c r="AM81" s="2" t="inlineStr">
        <is>
          <t>D</t>
        </is>
      </c>
      <c r="AN81" s="6" t="inlineStr">
        <is>
          <t>INCORRECTO</t>
        </is>
      </c>
      <c r="AO81" s="2" t="inlineStr">
        <is>
          <t>A</t>
        </is>
      </c>
      <c r="AP81" s="6" t="inlineStr">
        <is>
          <t>INCORRECTO</t>
        </is>
      </c>
      <c r="AQ81" s="2" t="inlineStr">
        <is>
          <t>C</t>
        </is>
      </c>
      <c r="AR81" s="6" t="inlineStr">
        <is>
          <t>INCORRECTO</t>
        </is>
      </c>
      <c r="AS81" s="2" t="inlineStr">
        <is>
          <t>A</t>
        </is>
      </c>
      <c r="AT81" s="6" t="inlineStr">
        <is>
          <t>INCORRECTO</t>
        </is>
      </c>
      <c r="AU81" s="2" t="inlineStr">
        <is>
          <t>C</t>
        </is>
      </c>
      <c r="AV81" s="3" t="inlineStr">
        <is>
          <t>CORRECTO</t>
        </is>
      </c>
      <c r="AW81" s="4">
        <f>COUNTIF(J81:AV81,"CORRECTO")</f>
        <v/>
      </c>
      <c r="AX81" s="4">
        <f>COUNTIF(J81:AV81,"INCORRECTO")</f>
        <v/>
      </c>
      <c r="AY81" s="4" t="n">
        <v>20</v>
      </c>
      <c r="AZ81" s="5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2026-06-17T20:30:34Z</dcterms:created>
  <dcterms:modified xmlns:dcterms="http://purl.org/dc/terms/" xmlns:xsi="http://www.w3.org/2001/XMLSchema-instance" xsi:type="dcterms:W3CDTF">2026-06-17T20:30:35Z</dcterms:modified>
</cp:coreProperties>
</file>