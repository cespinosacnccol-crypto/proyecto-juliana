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111001800554</t>
        </is>
      </c>
      <c r="C2" s="2" t="inlineStr">
        <is>
          <t>COLEGIO EMMA REYES (IED)</t>
        </is>
      </c>
      <c r="D2" s="2" t="inlineStr">
        <is>
          <t>MARIO ALEJANDRO DIAZ GUIZA</t>
        </is>
      </c>
      <c r="E2" s="2" t="inlineStr">
        <is>
          <t>1033120014</t>
        </is>
      </c>
      <c r="F2" s="2" t="n">
        <v>3</v>
      </c>
      <c r="G2" s="2" t="n">
        <v>301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A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A</t>
        </is>
      </c>
      <c r="T2" s="4" t="inlineStr">
        <is>
          <t>INCORRECTO</t>
        </is>
      </c>
      <c r="U2" s="2" t="inlineStr">
        <is>
          <t>C</t>
        </is>
      </c>
      <c r="V2" s="4" t="inlineStr">
        <is>
          <t>INCORRECTO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D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TRATADO</t>
        </is>
      </c>
      <c r="B3" s="2" t="inlineStr">
        <is>
          <t>111001800554</t>
        </is>
      </c>
      <c r="C3" s="2" t="inlineStr">
        <is>
          <t>COLEGIO EMMA REYES (IED)</t>
        </is>
      </c>
      <c r="D3" s="2" t="inlineStr">
        <is>
          <t>MARIO ALEJANDRO DIAZ GUIZA</t>
        </is>
      </c>
      <c r="E3" s="2" t="inlineStr">
        <is>
          <t>1033120014</t>
        </is>
      </c>
      <c r="F3" s="2" t="n">
        <v>3</v>
      </c>
      <c r="G3" s="2" t="n">
        <v>301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A</t>
        </is>
      </c>
      <c r="AF3" s="4" t="inlineStr">
        <is>
          <t>INCORRECTO</t>
        </is>
      </c>
      <c r="AG3" s="2" t="inlineStr">
        <is>
          <t>B</t>
        </is>
      </c>
      <c r="AH3" s="4" t="inlineStr">
        <is>
          <t>INCORRECTO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C</t>
        </is>
      </c>
      <c r="AL3" s="4" t="inlineStr">
        <is>
          <t>INCORRECTO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TRATADO</t>
        </is>
      </c>
      <c r="B4" s="2" t="inlineStr">
        <is>
          <t>111001800554</t>
        </is>
      </c>
      <c r="C4" s="2" t="inlineStr">
        <is>
          <t>COLEGIO EMMA REYES (IED)</t>
        </is>
      </c>
      <c r="D4" s="2" t="inlineStr">
        <is>
          <t>JERONIMO VELA DIAZ</t>
        </is>
      </c>
      <c r="E4" s="2" t="inlineStr">
        <is>
          <t>1146141569</t>
        </is>
      </c>
      <c r="F4" s="2" t="n">
        <v>3</v>
      </c>
      <c r="G4" s="2" t="n">
        <v>301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D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3" t="inlineStr">
        <is>
          <t>CORRECTO</t>
        </is>
      </c>
      <c r="AE4" s="2" t="inlineStr">
        <is>
          <t>C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D</t>
        </is>
      </c>
      <c r="AJ4" s="3" t="inlineStr">
        <is>
          <t>CORRECTO</t>
        </is>
      </c>
      <c r="AK4" s="2" t="inlineStr">
        <is>
          <t>C</t>
        </is>
      </c>
      <c r="AL4" s="4" t="inlineStr">
        <is>
          <t>INCORRECTO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TRATADO</t>
        </is>
      </c>
      <c r="B5" s="2" t="inlineStr">
        <is>
          <t>111001800554</t>
        </is>
      </c>
      <c r="C5" s="2" t="inlineStr">
        <is>
          <t>COLEGIO EMMA REYES (IED)</t>
        </is>
      </c>
      <c r="D5" s="2" t="inlineStr">
        <is>
          <t>JERONIMO VELA DIAZ</t>
        </is>
      </c>
      <c r="E5" s="2" t="inlineStr">
        <is>
          <t>1146141569</t>
        </is>
      </c>
      <c r="F5" s="2" t="n">
        <v>3</v>
      </c>
      <c r="G5" s="2" t="n">
        <v>301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4" t="inlineStr">
        <is>
          <t>INCORRECTO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A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TRATADO</t>
        </is>
      </c>
      <c r="B6" s="2" t="inlineStr">
        <is>
          <t>111001800554</t>
        </is>
      </c>
      <c r="C6" s="2" t="inlineStr">
        <is>
          <t>COLEGIO EMMA REYES (IED)</t>
        </is>
      </c>
      <c r="D6" s="2" t="inlineStr">
        <is>
          <t>ALLISON SARAI GUTIERREZ CORRALES</t>
        </is>
      </c>
      <c r="E6" s="2" t="inlineStr">
        <is>
          <t>1220224673</t>
        </is>
      </c>
      <c r="F6" s="2" t="n">
        <v>3</v>
      </c>
      <c r="G6" s="2" t="n">
        <v>301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TRATADO</t>
        </is>
      </c>
      <c r="B7" s="2" t="inlineStr">
        <is>
          <t>111001800554</t>
        </is>
      </c>
      <c r="C7" s="2" t="inlineStr">
        <is>
          <t>COLEGIO EMMA REYES (IED)</t>
        </is>
      </c>
      <c r="D7" s="2" t="inlineStr">
        <is>
          <t>ALLISON SARAI GUTIERREZ CORRALES</t>
        </is>
      </c>
      <c r="E7" s="2" t="inlineStr">
        <is>
          <t>1220224673</t>
        </is>
      </c>
      <c r="F7" s="2" t="n">
        <v>3</v>
      </c>
      <c r="G7" s="2" t="n">
        <v>301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A</t>
        </is>
      </c>
      <c r="R7" s="4" t="inlineStr">
        <is>
          <t>INCORRECTO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D</t>
        </is>
      </c>
      <c r="AD7" s="4" t="inlineStr">
        <is>
          <t>INCORRECTO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A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B</t>
        </is>
      </c>
      <c r="AL7" s="4" t="inlineStr">
        <is>
          <t>INCORRECTO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TRATADO</t>
        </is>
      </c>
      <c r="B8" s="2" t="inlineStr">
        <is>
          <t>111001800554</t>
        </is>
      </c>
      <c r="C8" s="2" t="inlineStr">
        <is>
          <t>COLEGIO EMMA REYES (IED)</t>
        </is>
      </c>
      <c r="D8" s="2" t="inlineStr">
        <is>
          <t>JERONIMO DIAZ CASTILLO</t>
        </is>
      </c>
      <c r="E8" s="2" t="inlineStr">
        <is>
          <t>1032506547</t>
        </is>
      </c>
      <c r="F8" s="2" t="n">
        <v>3</v>
      </c>
      <c r="G8" s="2" t="n">
        <v>301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D</t>
        </is>
      </c>
      <c r="AB8" s="4" t="inlineStr">
        <is>
          <t>INCORRECTO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3" t="inlineStr">
        <is>
          <t>CORRECTO</t>
        </is>
      </c>
      <c r="AK8" s="2" t="inlineStr">
        <is>
          <t>C</t>
        </is>
      </c>
      <c r="AL8" s="4" t="inlineStr">
        <is>
          <t>INCORRECTO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TRATADO</t>
        </is>
      </c>
      <c r="B9" s="2" t="inlineStr">
        <is>
          <t>111001800554</t>
        </is>
      </c>
      <c r="C9" s="2" t="inlineStr">
        <is>
          <t>COLEGIO EMMA REYES (IED)</t>
        </is>
      </c>
      <c r="D9" s="2" t="inlineStr">
        <is>
          <t>JERONIMO DIAZ CASTILLO</t>
        </is>
      </c>
      <c r="E9" s="2" t="inlineStr">
        <is>
          <t>1032506547</t>
        </is>
      </c>
      <c r="F9" s="2" t="n">
        <v>3</v>
      </c>
      <c r="G9" s="2" t="n">
        <v>301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C</t>
        </is>
      </c>
      <c r="AH9" s="4" t="inlineStr">
        <is>
          <t>INCORRECTO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B</t>
        </is>
      </c>
      <c r="AL9" s="4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TRATADO</t>
        </is>
      </c>
      <c r="B10" s="2" t="inlineStr">
        <is>
          <t>111001800554</t>
        </is>
      </c>
      <c r="C10" s="2" t="inlineStr">
        <is>
          <t>COLEGIO EMMA REYES (IED)</t>
        </is>
      </c>
      <c r="D10" s="2" t="inlineStr">
        <is>
          <t>MIA ISABELLA ARTEAGA FARFAN</t>
        </is>
      </c>
      <c r="E10" s="2" t="inlineStr">
        <is>
          <t>1146142784</t>
        </is>
      </c>
      <c r="F10" s="2" t="n">
        <v>3</v>
      </c>
      <c r="G10" s="2" t="n">
        <v>301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A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3" t="inlineStr">
        <is>
          <t>CORRECTO</t>
        </is>
      </c>
      <c r="AK10" s="2" t="inlineStr">
        <is>
          <t>A</t>
        </is>
      </c>
      <c r="AL10" s="3" t="inlineStr">
        <is>
          <t>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TRATADO</t>
        </is>
      </c>
      <c r="B11" s="2" t="inlineStr">
        <is>
          <t>111001800554</t>
        </is>
      </c>
      <c r="C11" s="2" t="inlineStr">
        <is>
          <t>COLEGIO EMMA REYES (IED)</t>
        </is>
      </c>
      <c r="D11" s="2" t="inlineStr">
        <is>
          <t>MIA ISABELLA ARTEAGA FARFAN</t>
        </is>
      </c>
      <c r="E11" s="2" t="inlineStr">
        <is>
          <t>1146142784</t>
        </is>
      </c>
      <c r="F11" s="2" t="n">
        <v>3</v>
      </c>
      <c r="G11" s="2" t="n">
        <v>301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C</t>
        </is>
      </c>
      <c r="AH11" s="4" t="inlineStr">
        <is>
          <t>INCORRECTO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TRATADO</t>
        </is>
      </c>
      <c r="B12" s="2" t="inlineStr">
        <is>
          <t>111001800554</t>
        </is>
      </c>
      <c r="C12" s="2" t="inlineStr">
        <is>
          <t>COLEGIO EMMA REYES (IED)</t>
        </is>
      </c>
      <c r="D12" s="2" t="inlineStr">
        <is>
          <t>JUAN FELIPE VILLANUEVA PINZON</t>
        </is>
      </c>
      <c r="E12" s="2" t="inlineStr">
        <is>
          <t>1141358900</t>
        </is>
      </c>
      <c r="F12" s="2" t="n">
        <v>3</v>
      </c>
      <c r="G12" s="2" t="n">
        <v>301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D</t>
        </is>
      </c>
      <c r="P12" s="4" t="inlineStr">
        <is>
          <t>INCORRECTO</t>
        </is>
      </c>
      <c r="Q12" s="2" t="inlineStr">
        <is>
          <t>C</t>
        </is>
      </c>
      <c r="R12" s="4" t="inlineStr">
        <is>
          <t>INCORRECTO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D</t>
        </is>
      </c>
      <c r="V12" s="4" t="inlineStr">
        <is>
          <t>INCORRECTO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D</t>
        </is>
      </c>
      <c r="AD12" s="3" t="inlineStr">
        <is>
          <t>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A</t>
        </is>
      </c>
      <c r="AL12" s="3" t="inlineStr">
        <is>
          <t>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TRATADO</t>
        </is>
      </c>
      <c r="B13" s="2" t="inlineStr">
        <is>
          <t>111001800554</t>
        </is>
      </c>
      <c r="C13" s="2" t="inlineStr">
        <is>
          <t>COLEGIO EMMA REYES (IED)</t>
        </is>
      </c>
      <c r="D13" s="2" t="inlineStr">
        <is>
          <t>JUAN FELIPE VILLANUEVA PINZON</t>
        </is>
      </c>
      <c r="E13" s="2" t="inlineStr">
        <is>
          <t>1141358900</t>
        </is>
      </c>
      <c r="F13" s="2" t="n">
        <v>3</v>
      </c>
      <c r="G13" s="2" t="n">
        <v>301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D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TRATADO</t>
        </is>
      </c>
      <c r="B14" s="2" t="inlineStr">
        <is>
          <t>111001800554</t>
        </is>
      </c>
      <c r="C14" s="2" t="inlineStr">
        <is>
          <t>COLEGIO EMMA REYES (IED)</t>
        </is>
      </c>
      <c r="D14" s="2" t="inlineStr">
        <is>
          <t>LUCIANA WILCHES CHAVEZ</t>
        </is>
      </c>
      <c r="E14" s="2" t="inlineStr">
        <is>
          <t>1188224378</t>
        </is>
      </c>
      <c r="F14" s="2" t="n">
        <v>3</v>
      </c>
      <c r="G14" s="2" t="n">
        <v>301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/>
      <c r="P14" s="4" t="inlineStr">
        <is>
          <t>INCORRECTO</t>
        </is>
      </c>
      <c r="Q14" s="2" t="inlineStr">
        <is>
          <t>D</t>
        </is>
      </c>
      <c r="R14" s="4" t="inlineStr">
        <is>
          <t>INCORRECTO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3" t="inlineStr">
        <is>
          <t>CORRECTO</t>
        </is>
      </c>
      <c r="AE14" s="2" t="inlineStr">
        <is>
          <t>D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3" t="inlineStr">
        <is>
          <t>CORRECTO</t>
        </is>
      </c>
      <c r="AK14" s="2" t="inlineStr">
        <is>
          <t>C</t>
        </is>
      </c>
      <c r="AL14" s="4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TRATADO</t>
        </is>
      </c>
      <c r="B15" s="2" t="inlineStr">
        <is>
          <t>111001800554</t>
        </is>
      </c>
      <c r="C15" s="2" t="inlineStr">
        <is>
          <t>COLEGIO EMMA REYES (IED)</t>
        </is>
      </c>
      <c r="D15" s="2" t="inlineStr">
        <is>
          <t>LUCIANA WILCHES CHAVEZ</t>
        </is>
      </c>
      <c r="E15" s="2" t="inlineStr">
        <is>
          <t>1188224378</t>
        </is>
      </c>
      <c r="F15" s="2" t="n">
        <v>3</v>
      </c>
      <c r="G15" s="2" t="n">
        <v>301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A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TRATADO</t>
        </is>
      </c>
      <c r="B16" s="2" t="inlineStr">
        <is>
          <t>111001800554</t>
        </is>
      </c>
      <c r="C16" s="2" t="inlineStr">
        <is>
          <t>COLEGIO EMMA REYES (IED)</t>
        </is>
      </c>
      <c r="D16" s="2" t="inlineStr">
        <is>
          <t>MARIA ISABELLA RODRIGUEZ QUINTERO</t>
        </is>
      </c>
      <c r="E16" s="2" t="inlineStr">
        <is>
          <t>1034314375</t>
        </is>
      </c>
      <c r="F16" s="2" t="n">
        <v>3</v>
      </c>
      <c r="G16" s="2" t="n">
        <v>301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B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C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3" t="inlineStr">
        <is>
          <t>CORRECTO</t>
        </is>
      </c>
      <c r="AK16" s="2" t="inlineStr">
        <is>
          <t>C</t>
        </is>
      </c>
      <c r="AL16" s="4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TRATADO</t>
        </is>
      </c>
      <c r="B17" s="2" t="inlineStr">
        <is>
          <t>111001800554</t>
        </is>
      </c>
      <c r="C17" s="2" t="inlineStr">
        <is>
          <t>COLEGIO EMMA REYES (IED)</t>
        </is>
      </c>
      <c r="D17" s="2" t="inlineStr">
        <is>
          <t>MARIA ISABELLA RODRIGUEZ QUINTERO</t>
        </is>
      </c>
      <c r="E17" s="2" t="inlineStr">
        <is>
          <t>1034314375</t>
        </is>
      </c>
      <c r="F17" s="2" t="n">
        <v>3</v>
      </c>
      <c r="G17" s="2" t="n">
        <v>301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A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TRATADO</t>
        </is>
      </c>
      <c r="B18" s="2" t="inlineStr">
        <is>
          <t>111001800554</t>
        </is>
      </c>
      <c r="C18" s="2" t="inlineStr">
        <is>
          <t>COLEGIO EMMA REYES (IED)</t>
        </is>
      </c>
      <c r="D18" s="2" t="inlineStr">
        <is>
          <t>JUAN JOSE SANCHEZ PEREA</t>
        </is>
      </c>
      <c r="E18" s="2" t="inlineStr">
        <is>
          <t>1028727872</t>
        </is>
      </c>
      <c r="F18" s="2" t="n">
        <v>3</v>
      </c>
      <c r="G18" s="2" t="n">
        <v>301</v>
      </c>
      <c r="H18" s="2" t="inlineStr">
        <is>
          <t>MATEMÁTICAS</t>
        </is>
      </c>
      <c r="I18" s="2" t="inlineStr">
        <is>
          <t>A</t>
        </is>
      </c>
      <c r="J18" s="4" t="inlineStr">
        <is>
          <t>INCORRECTO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D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D</t>
        </is>
      </c>
      <c r="T18" s="4" t="inlineStr">
        <is>
          <t>INCORRECTO</t>
        </is>
      </c>
      <c r="U18" s="2" t="inlineStr">
        <is>
          <t>C</t>
        </is>
      </c>
      <c r="V18" s="4" t="inlineStr">
        <is>
          <t>INCORRECTO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B</t>
        </is>
      </c>
      <c r="AB18" s="4" t="inlineStr">
        <is>
          <t>INCORRECTO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D</t>
        </is>
      </c>
      <c r="AF18" s="3" t="inlineStr">
        <is>
          <t>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B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TRATADO</t>
        </is>
      </c>
      <c r="B19" s="2" t="inlineStr">
        <is>
          <t>111001800554</t>
        </is>
      </c>
      <c r="C19" s="2" t="inlineStr">
        <is>
          <t>COLEGIO EMMA REYES (IED)</t>
        </is>
      </c>
      <c r="D19" s="2" t="inlineStr">
        <is>
          <t>JUAN JOSE SANCHEZ PEREA</t>
        </is>
      </c>
      <c r="E19" s="2" t="inlineStr">
        <is>
          <t>1028727872</t>
        </is>
      </c>
      <c r="F19" s="2" t="n">
        <v>3</v>
      </c>
      <c r="G19" s="2" t="n">
        <v>301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A</t>
        </is>
      </c>
      <c r="L19" s="4" t="inlineStr">
        <is>
          <t>INCORRECTO</t>
        </is>
      </c>
      <c r="M19" s="2" t="inlineStr">
        <is>
          <t>D</t>
        </is>
      </c>
      <c r="N19" s="4" t="inlineStr">
        <is>
          <t>INCORRECTO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B</t>
        </is>
      </c>
      <c r="X19" s="4" t="inlineStr">
        <is>
          <t>INCORRECTO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B</t>
        </is>
      </c>
      <c r="AB19" s="4" t="inlineStr">
        <is>
          <t>INCORRECTO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A</t>
        </is>
      </c>
      <c r="AH19" s="3" t="inlineStr">
        <is>
          <t>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B</t>
        </is>
      </c>
      <c r="AL19" s="4" t="inlineStr">
        <is>
          <t>INCORRECTO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TRATADO</t>
        </is>
      </c>
      <c r="B20" s="2" t="inlineStr">
        <is>
          <t>111001800554</t>
        </is>
      </c>
      <c r="C20" s="2" t="inlineStr">
        <is>
          <t>COLEGIO EMMA REYES (IED)</t>
        </is>
      </c>
      <c r="D20" s="2" t="inlineStr">
        <is>
          <t>STEVEN BARRETO GARCIA</t>
        </is>
      </c>
      <c r="E20" s="2" t="inlineStr">
        <is>
          <t>1222217819</t>
        </is>
      </c>
      <c r="F20" s="2" t="n">
        <v>3</v>
      </c>
      <c r="G20" s="2" t="n">
        <v>301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D</t>
        </is>
      </c>
      <c r="P20" s="4" t="inlineStr">
        <is>
          <t>INCORRECTO</t>
        </is>
      </c>
      <c r="Q20" s="2" t="inlineStr">
        <is>
          <t>C</t>
        </is>
      </c>
      <c r="R20" s="4" t="inlineStr">
        <is>
          <t>INCORRECTO</t>
        </is>
      </c>
      <c r="S20" s="2" t="inlineStr">
        <is>
          <t>B</t>
        </is>
      </c>
      <c r="T20" s="4" t="inlineStr">
        <is>
          <t>INCORRECTO</t>
        </is>
      </c>
      <c r="U20" s="2" t="inlineStr">
        <is>
          <t>C</t>
        </is>
      </c>
      <c r="V20" s="4" t="inlineStr">
        <is>
          <t>INCORRECTO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D</t>
        </is>
      </c>
      <c r="Z20" s="4" t="inlineStr">
        <is>
          <t>INCORRECTO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TRATADO</t>
        </is>
      </c>
      <c r="B21" s="2" t="inlineStr">
        <is>
          <t>111001800554</t>
        </is>
      </c>
      <c r="C21" s="2" t="inlineStr">
        <is>
          <t>COLEGIO EMMA REYES (IED)</t>
        </is>
      </c>
      <c r="D21" s="2" t="inlineStr">
        <is>
          <t>STEVEN BARRETO GARCIA</t>
        </is>
      </c>
      <c r="E21" s="2" t="inlineStr">
        <is>
          <t>1222217819</t>
        </is>
      </c>
      <c r="F21" s="2" t="n">
        <v>3</v>
      </c>
      <c r="G21" s="2" t="n">
        <v>301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/>
      <c r="AF21" s="4" t="inlineStr">
        <is>
          <t>INCORRECTO</t>
        </is>
      </c>
      <c r="AG21" s="2" t="inlineStr">
        <is>
          <t>A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TRATADO</t>
        </is>
      </c>
      <c r="B22" s="2" t="inlineStr">
        <is>
          <t>111001800554</t>
        </is>
      </c>
      <c r="C22" s="2" t="inlineStr">
        <is>
          <t>COLEGIO EMMA REYES (IED)</t>
        </is>
      </c>
      <c r="D22" s="2" t="inlineStr">
        <is>
          <t>DANNA VALENTINA CARDOZO LUNA</t>
        </is>
      </c>
      <c r="E22" s="2" t="inlineStr">
        <is>
          <t>1013691824</t>
        </is>
      </c>
      <c r="F22" s="2" t="n">
        <v>3</v>
      </c>
      <c r="G22" s="2" t="n">
        <v>301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B</t>
        </is>
      </c>
      <c r="N22" s="4" t="inlineStr">
        <is>
          <t>INCORRECTO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C</t>
        </is>
      </c>
      <c r="R22" s="4" t="inlineStr">
        <is>
          <t>INCORRECTO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C</t>
        </is>
      </c>
      <c r="V22" s="4" t="inlineStr">
        <is>
          <t>INCORRECTO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D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3" t="inlineStr">
        <is>
          <t>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C</t>
        </is>
      </c>
      <c r="AL22" s="4" t="inlineStr">
        <is>
          <t>INCORRECTO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TRATADO</t>
        </is>
      </c>
      <c r="B23" s="2" t="inlineStr">
        <is>
          <t>111001800554</t>
        </is>
      </c>
      <c r="C23" s="2" t="inlineStr">
        <is>
          <t>COLEGIO EMMA REYES (IED)</t>
        </is>
      </c>
      <c r="D23" s="2" t="inlineStr">
        <is>
          <t>DANNA VALENTINA CARDOZO LUNA</t>
        </is>
      </c>
      <c r="E23" s="2" t="inlineStr">
        <is>
          <t>1013691824</t>
        </is>
      </c>
      <c r="F23" s="2" t="n">
        <v>3</v>
      </c>
      <c r="G23" s="2" t="n">
        <v>301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A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A</t>
        </is>
      </c>
      <c r="AL23" s="3" t="inlineStr">
        <is>
          <t>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TRATADO</t>
        </is>
      </c>
      <c r="B24" s="2" t="inlineStr">
        <is>
          <t>111001800554</t>
        </is>
      </c>
      <c r="C24" s="2" t="inlineStr">
        <is>
          <t>COLEGIO EMMA REYES (IED)</t>
        </is>
      </c>
      <c r="D24" s="2" t="inlineStr">
        <is>
          <t>SOFIA RODRIGUEZ JOYA</t>
        </is>
      </c>
      <c r="E24" s="2" t="inlineStr">
        <is>
          <t>1141360937</t>
        </is>
      </c>
      <c r="F24" s="2" t="n">
        <v>3</v>
      </c>
      <c r="G24" s="2" t="n">
        <v>301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C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3" t="inlineStr">
        <is>
          <t>CORRECTO</t>
        </is>
      </c>
      <c r="AK24" s="2" t="inlineStr">
        <is>
          <t>C</t>
        </is>
      </c>
      <c r="AL24" s="4" t="inlineStr">
        <is>
          <t>INCORRECTO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TRATADO</t>
        </is>
      </c>
      <c r="B25" s="2" t="inlineStr">
        <is>
          <t>111001800554</t>
        </is>
      </c>
      <c r="C25" s="2" t="inlineStr">
        <is>
          <t>COLEGIO EMMA REYES (IED)</t>
        </is>
      </c>
      <c r="D25" s="2" t="inlineStr">
        <is>
          <t>SOFIA RODRIGUEZ JOYA</t>
        </is>
      </c>
      <c r="E25" s="2" t="inlineStr">
        <is>
          <t>1141360937</t>
        </is>
      </c>
      <c r="F25" s="2" t="n">
        <v>3</v>
      </c>
      <c r="G25" s="2" t="n">
        <v>301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B</t>
        </is>
      </c>
      <c r="AD25" s="4" t="inlineStr">
        <is>
          <t>INCORRECTO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B</t>
        </is>
      </c>
      <c r="AH25" s="4" t="inlineStr">
        <is>
          <t>INCORRECTO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TRATADO</t>
        </is>
      </c>
      <c r="B26" s="2" t="inlineStr">
        <is>
          <t>111001800554</t>
        </is>
      </c>
      <c r="C26" s="2" t="inlineStr">
        <is>
          <t>COLEGIO EMMA REYES (IED)</t>
        </is>
      </c>
      <c r="D26" s="2" t="inlineStr">
        <is>
          <t>NICOLAS MARTINEZ ARENAS</t>
        </is>
      </c>
      <c r="E26" s="2" t="inlineStr">
        <is>
          <t>1027153369</t>
        </is>
      </c>
      <c r="F26" s="2" t="n">
        <v>3</v>
      </c>
      <c r="G26" s="2" t="n">
        <v>301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B</t>
        </is>
      </c>
      <c r="N26" s="4" t="inlineStr">
        <is>
          <t>INCORRECTO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4" t="inlineStr">
        <is>
          <t>INCORRECTO</t>
        </is>
      </c>
      <c r="U26" s="2" t="inlineStr">
        <is>
          <t>D</t>
        </is>
      </c>
      <c r="V26" s="4" t="inlineStr">
        <is>
          <t>INCORRECTO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3" t="inlineStr">
        <is>
          <t>CORRECTO</t>
        </is>
      </c>
      <c r="AE26" s="2" t="inlineStr">
        <is>
          <t>D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C</t>
        </is>
      </c>
      <c r="AL26" s="4" t="inlineStr">
        <is>
          <t>INCORRECTO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TRATADO</t>
        </is>
      </c>
      <c r="B27" s="2" t="inlineStr">
        <is>
          <t>111001800554</t>
        </is>
      </c>
      <c r="C27" s="2" t="inlineStr">
        <is>
          <t>COLEGIO EMMA REYES (IED)</t>
        </is>
      </c>
      <c r="D27" s="2" t="inlineStr">
        <is>
          <t>NICOLAS MARTINEZ ARENAS</t>
        </is>
      </c>
      <c r="E27" s="2" t="inlineStr">
        <is>
          <t>1027153369</t>
        </is>
      </c>
      <c r="F27" s="2" t="n">
        <v>3</v>
      </c>
      <c r="G27" s="2" t="n">
        <v>301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A</t>
        </is>
      </c>
      <c r="AH27" s="3" t="inlineStr">
        <is>
          <t>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TRATADO</t>
        </is>
      </c>
      <c r="B28" s="2" t="inlineStr">
        <is>
          <t>111001800554</t>
        </is>
      </c>
      <c r="C28" s="2" t="inlineStr">
        <is>
          <t>COLEGIO EMMA REYES (IED)</t>
        </is>
      </c>
      <c r="D28" s="2" t="inlineStr">
        <is>
          <t>NIKOLAS ELIAS OROZCO VERGARA</t>
        </is>
      </c>
      <c r="E28" s="2" t="inlineStr">
        <is>
          <t>1131007985</t>
        </is>
      </c>
      <c r="F28" s="2" t="n">
        <v>3</v>
      </c>
      <c r="G28" s="2" t="n">
        <v>301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A</t>
        </is>
      </c>
      <c r="T28" s="4" t="inlineStr">
        <is>
          <t>INCORRECTO</t>
        </is>
      </c>
      <c r="U28" s="2" t="inlineStr">
        <is>
          <t>C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D</t>
        </is>
      </c>
      <c r="AD28" s="3" t="inlineStr">
        <is>
          <t>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D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TRATADO</t>
        </is>
      </c>
      <c r="B29" s="2" t="inlineStr">
        <is>
          <t>111001800554</t>
        </is>
      </c>
      <c r="C29" s="2" t="inlineStr">
        <is>
          <t>COLEGIO EMMA REYES (IED)</t>
        </is>
      </c>
      <c r="D29" s="2" t="inlineStr">
        <is>
          <t>NIKOLAS ELIAS OROZCO VERGARA</t>
        </is>
      </c>
      <c r="E29" s="2" t="inlineStr">
        <is>
          <t>1131007985</t>
        </is>
      </c>
      <c r="F29" s="2" t="n">
        <v>3</v>
      </c>
      <c r="G29" s="2" t="n">
        <v>301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A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3" t="inlineStr">
        <is>
          <t>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TRATADO</t>
        </is>
      </c>
      <c r="B30" s="2" t="inlineStr">
        <is>
          <t>111001800554</t>
        </is>
      </c>
      <c r="C30" s="2" t="inlineStr">
        <is>
          <t>COLEGIO EMMA REYES (IED)</t>
        </is>
      </c>
      <c r="D30" s="2" t="inlineStr">
        <is>
          <t>SALOME TORRES PARDO</t>
        </is>
      </c>
      <c r="E30" s="2" t="inlineStr">
        <is>
          <t>1034790827</t>
        </is>
      </c>
      <c r="F30" s="2" t="n">
        <v>3</v>
      </c>
      <c r="G30" s="2" t="n">
        <v>301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D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D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A</t>
        </is>
      </c>
      <c r="T30" s="4" t="inlineStr">
        <is>
          <t>INCORRECTO</t>
        </is>
      </c>
      <c r="U30" s="2" t="inlineStr">
        <is>
          <t>D</t>
        </is>
      </c>
      <c r="V30" s="4" t="inlineStr">
        <is>
          <t>INCORRECTO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D</t>
        </is>
      </c>
      <c r="AD30" s="3" t="inlineStr">
        <is>
          <t>CORRECTO</t>
        </is>
      </c>
      <c r="AE30" s="2" t="inlineStr">
        <is>
          <t>D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D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TRATADO</t>
        </is>
      </c>
      <c r="B31" s="2" t="inlineStr">
        <is>
          <t>111001800554</t>
        </is>
      </c>
      <c r="C31" s="2" t="inlineStr">
        <is>
          <t>COLEGIO EMMA REYES (IED)</t>
        </is>
      </c>
      <c r="D31" s="2" t="inlineStr">
        <is>
          <t>SALOME TORRES PARDO</t>
        </is>
      </c>
      <c r="E31" s="2" t="inlineStr">
        <is>
          <t>1034790827</t>
        </is>
      </c>
      <c r="F31" s="2" t="n">
        <v>3</v>
      </c>
      <c r="G31" s="2" t="n">
        <v>301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C</t>
        </is>
      </c>
      <c r="AH31" s="4" t="inlineStr">
        <is>
          <t>INCORRECTO</t>
        </is>
      </c>
      <c r="AI31" s="2" t="inlineStr">
        <is>
          <t>C</t>
        </is>
      </c>
      <c r="AJ31" s="4" t="inlineStr">
        <is>
          <t>INCORRECTO</t>
        </is>
      </c>
      <c r="AK31" s="2" t="inlineStr">
        <is>
          <t>D</t>
        </is>
      </c>
      <c r="AL31" s="4" t="inlineStr">
        <is>
          <t>INCORRECTO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TRATADO</t>
        </is>
      </c>
      <c r="B32" s="2" t="inlineStr">
        <is>
          <t>111001800554</t>
        </is>
      </c>
      <c r="C32" s="2" t="inlineStr">
        <is>
          <t>COLEGIO EMMA REYES (IED)</t>
        </is>
      </c>
      <c r="D32" s="2" t="inlineStr">
        <is>
          <t>SALOME CASTAÑEDA BARBOSA</t>
        </is>
      </c>
      <c r="E32" s="2" t="inlineStr">
        <is>
          <t>1222218236</t>
        </is>
      </c>
      <c r="F32" s="2" t="n">
        <v>3</v>
      </c>
      <c r="G32" s="2" t="n">
        <v>301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D</t>
        </is>
      </c>
      <c r="AD32" s="3" t="inlineStr">
        <is>
          <t>CORRECTO</t>
        </is>
      </c>
      <c r="AE32" s="2" t="inlineStr">
        <is>
          <t>C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3" t="inlineStr">
        <is>
          <t>CORRECTO</t>
        </is>
      </c>
      <c r="AK32" s="2" t="inlineStr">
        <is>
          <t>A</t>
        </is>
      </c>
      <c r="AL32" s="3" t="inlineStr">
        <is>
          <t>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TRATADO</t>
        </is>
      </c>
      <c r="B33" s="2" t="inlineStr">
        <is>
          <t>111001800554</t>
        </is>
      </c>
      <c r="C33" s="2" t="inlineStr">
        <is>
          <t>COLEGIO EMMA REYES (IED)</t>
        </is>
      </c>
      <c r="D33" s="2" t="inlineStr">
        <is>
          <t>SALOME CASTAÑEDA BARBOSA</t>
        </is>
      </c>
      <c r="E33" s="2" t="inlineStr">
        <is>
          <t>1222218236</t>
        </is>
      </c>
      <c r="F33" s="2" t="n">
        <v>3</v>
      </c>
      <c r="G33" s="2" t="n">
        <v>301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A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TRATADO</t>
        </is>
      </c>
      <c r="B34" s="2" t="inlineStr">
        <is>
          <t>111001800554</t>
        </is>
      </c>
      <c r="C34" s="2" t="inlineStr">
        <is>
          <t>COLEGIO EMMA REYES (IED)</t>
        </is>
      </c>
      <c r="D34" s="2" t="inlineStr">
        <is>
          <t>ANA VALERIA DIAZ PEREZ</t>
        </is>
      </c>
      <c r="E34" s="2" t="inlineStr">
        <is>
          <t>1141356803</t>
        </is>
      </c>
      <c r="F34" s="2" t="n">
        <v>3</v>
      </c>
      <c r="G34" s="2" t="n">
        <v>301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C</t>
        </is>
      </c>
      <c r="L34" s="4" t="inlineStr">
        <is>
          <t>INCORRECTO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A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C</t>
        </is>
      </c>
      <c r="V34" s="4" t="inlineStr">
        <is>
          <t>INCORRECTO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D</t>
        </is>
      </c>
      <c r="AB34" s="4" t="inlineStr">
        <is>
          <t>INCORRECTO</t>
        </is>
      </c>
      <c r="AC34" s="2" t="inlineStr">
        <is>
          <t>D</t>
        </is>
      </c>
      <c r="AD34" s="3" t="inlineStr">
        <is>
          <t>CORRECTO</t>
        </is>
      </c>
      <c r="AE34" s="2" t="inlineStr">
        <is>
          <t>D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C</t>
        </is>
      </c>
      <c r="AL34" s="4" t="inlineStr">
        <is>
          <t>INCORRECTO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TRATADO</t>
        </is>
      </c>
      <c r="B35" s="2" t="inlineStr">
        <is>
          <t>111001800554</t>
        </is>
      </c>
      <c r="C35" s="2" t="inlineStr">
        <is>
          <t>COLEGIO EMMA REYES (IED)</t>
        </is>
      </c>
      <c r="D35" s="2" t="inlineStr">
        <is>
          <t>ANA VALERIA DIAZ PEREZ</t>
        </is>
      </c>
      <c r="E35" s="2" t="inlineStr">
        <is>
          <t>1141356803</t>
        </is>
      </c>
      <c r="F35" s="2" t="n">
        <v>3</v>
      </c>
      <c r="G35" s="2" t="n">
        <v>301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D</t>
        </is>
      </c>
      <c r="L35" s="4" t="inlineStr">
        <is>
          <t>INCORRECTO</t>
        </is>
      </c>
      <c r="M35" s="2" t="inlineStr">
        <is>
          <t>C</t>
        </is>
      </c>
      <c r="N35" s="4" t="inlineStr">
        <is>
          <t>INCORRECTO</t>
        </is>
      </c>
      <c r="O35" s="2" t="inlineStr">
        <is>
          <t>D</t>
        </is>
      </c>
      <c r="P35" s="4" t="inlineStr">
        <is>
          <t>INCORRECTO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A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TRATADO</t>
        </is>
      </c>
      <c r="B36" s="2" t="inlineStr">
        <is>
          <t>111001800554</t>
        </is>
      </c>
      <c r="C36" s="2" t="inlineStr">
        <is>
          <t>COLEGIO EMMA REYES (IED)</t>
        </is>
      </c>
      <c r="D36" s="2" t="inlineStr">
        <is>
          <t>SAMUEL JESUS PANTOJA IPUZ</t>
        </is>
      </c>
      <c r="E36" s="2" t="inlineStr">
        <is>
          <t>1233505730</t>
        </is>
      </c>
      <c r="F36" s="2" t="n">
        <v>3</v>
      </c>
      <c r="G36" s="2" t="n">
        <v>301</v>
      </c>
      <c r="H36" s="2" t="inlineStr">
        <is>
          <t>MATEMÁTICAS</t>
        </is>
      </c>
      <c r="I36" s="2" t="inlineStr">
        <is>
          <t>B</t>
        </is>
      </c>
      <c r="J36" s="4" t="inlineStr">
        <is>
          <t>INCORRECTO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D</t>
        </is>
      </c>
      <c r="T36" s="4" t="inlineStr">
        <is>
          <t>INCORRECTO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B</t>
        </is>
      </c>
      <c r="Z36" s="4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D</t>
        </is>
      </c>
      <c r="AD36" s="3" t="inlineStr">
        <is>
          <t>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3" t="inlineStr">
        <is>
          <t>CORRECTO</t>
        </is>
      </c>
      <c r="AK36" s="2" t="inlineStr">
        <is>
          <t>C</t>
        </is>
      </c>
      <c r="AL36" s="4" t="inlineStr">
        <is>
          <t>INCORRECTO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TRATADO</t>
        </is>
      </c>
      <c r="B37" s="2" t="inlineStr">
        <is>
          <t>111001800554</t>
        </is>
      </c>
      <c r="C37" s="2" t="inlineStr">
        <is>
          <t>COLEGIO EMMA REYES (IED)</t>
        </is>
      </c>
      <c r="D37" s="2" t="inlineStr">
        <is>
          <t>SAMUEL JESUS PANTOJA IPUZ</t>
        </is>
      </c>
      <c r="E37" s="2" t="inlineStr">
        <is>
          <t>1233505730</t>
        </is>
      </c>
      <c r="F37" s="2" t="n">
        <v>3</v>
      </c>
      <c r="G37" s="2" t="n">
        <v>301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D</t>
        </is>
      </c>
      <c r="R37" s="4" t="inlineStr">
        <is>
          <t>INCORRECTO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C</t>
        </is>
      </c>
      <c r="AH37" s="4" t="inlineStr">
        <is>
          <t>INCORRECTO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TRATADO</t>
        </is>
      </c>
      <c r="B38" s="2" t="inlineStr">
        <is>
          <t>111001800554</t>
        </is>
      </c>
      <c r="C38" s="2" t="inlineStr">
        <is>
          <t>COLEGIO EMMA REYES (IED)</t>
        </is>
      </c>
      <c r="D38" s="2" t="inlineStr">
        <is>
          <t>JUAN JOSE TORRES GOMEZ</t>
        </is>
      </c>
      <c r="E38" s="2" t="inlineStr">
        <is>
          <t>1013150535</t>
        </is>
      </c>
      <c r="F38" s="2" t="n">
        <v>3</v>
      </c>
      <c r="G38" s="2" t="n">
        <v>301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C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B</t>
        </is>
      </c>
      <c r="Z38" s="4" t="inlineStr">
        <is>
          <t>INCORRECTO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TRATADO</t>
        </is>
      </c>
      <c r="B39" s="2" t="inlineStr">
        <is>
          <t>111001800554</t>
        </is>
      </c>
      <c r="C39" s="2" t="inlineStr">
        <is>
          <t>COLEGIO EMMA REYES (IED)</t>
        </is>
      </c>
      <c r="D39" s="2" t="inlineStr">
        <is>
          <t>JUAN JOSE TORRES GOMEZ</t>
        </is>
      </c>
      <c r="E39" s="2" t="inlineStr">
        <is>
          <t>1013150535</t>
        </is>
      </c>
      <c r="F39" s="2" t="n">
        <v>3</v>
      </c>
      <c r="G39" s="2" t="n">
        <v>301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A</t>
        </is>
      </c>
      <c r="R39" s="4" t="inlineStr">
        <is>
          <t>INCORRECTO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A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D</t>
        </is>
      </c>
      <c r="AL39" s="4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TRATADO</t>
        </is>
      </c>
      <c r="B40" s="2" t="inlineStr">
        <is>
          <t>111001800554</t>
        </is>
      </c>
      <c r="C40" s="2" t="inlineStr">
        <is>
          <t>COLEGIO EMMA REYES (IED)</t>
        </is>
      </c>
      <c r="D40" s="2" t="inlineStr">
        <is>
          <t>MARIANA ARRIETA NOCUA</t>
        </is>
      </c>
      <c r="E40" s="2" t="inlineStr">
        <is>
          <t>1141358401</t>
        </is>
      </c>
      <c r="F40" s="2" t="n">
        <v>3</v>
      </c>
      <c r="G40" s="2" t="n">
        <v>301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D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3" t="inlineStr">
        <is>
          <t>CORRECTO</t>
        </is>
      </c>
      <c r="AE40" s="2" t="inlineStr">
        <is>
          <t>C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3" t="inlineStr">
        <is>
          <t>CORRECTO</t>
        </is>
      </c>
      <c r="AK40" s="2" t="inlineStr">
        <is>
          <t>A</t>
        </is>
      </c>
      <c r="AL40" s="3" t="inlineStr">
        <is>
          <t>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TRATADO</t>
        </is>
      </c>
      <c r="B41" s="2" t="inlineStr">
        <is>
          <t>111001800554</t>
        </is>
      </c>
      <c r="C41" s="2" t="inlineStr">
        <is>
          <t>COLEGIO EMMA REYES (IED)</t>
        </is>
      </c>
      <c r="D41" s="2" t="inlineStr">
        <is>
          <t>MARIANA ARRIETA NOCUA</t>
        </is>
      </c>
      <c r="E41" s="2" t="inlineStr">
        <is>
          <t>1141358401</t>
        </is>
      </c>
      <c r="F41" s="2" t="n">
        <v>3</v>
      </c>
      <c r="G41" s="2" t="n">
        <v>301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A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TRATADO</t>
        </is>
      </c>
      <c r="B42" s="2" t="inlineStr">
        <is>
          <t>111001800554</t>
        </is>
      </c>
      <c r="C42" s="2" t="inlineStr">
        <is>
          <t>COLEGIO EMMA REYES (IED)</t>
        </is>
      </c>
      <c r="D42" s="2" t="inlineStr">
        <is>
          <t>AYLEEN VERONIKA APONTE DUQUE</t>
        </is>
      </c>
      <c r="E42" s="2" t="inlineStr">
        <is>
          <t>1233512270</t>
        </is>
      </c>
      <c r="F42" s="2" t="n">
        <v>3</v>
      </c>
      <c r="G42" s="2" t="n">
        <v>301</v>
      </c>
      <c r="H42" s="2" t="inlineStr">
        <is>
          <t>MATEMÁTICAS</t>
        </is>
      </c>
      <c r="I42" s="2" t="inlineStr">
        <is>
          <t>B</t>
        </is>
      </c>
      <c r="J42" s="4" t="inlineStr">
        <is>
          <t>INCORRECTO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C</t>
        </is>
      </c>
      <c r="V42" s="4" t="inlineStr">
        <is>
          <t>INCORRECTO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D</t>
        </is>
      </c>
      <c r="AD42" s="3" t="inlineStr">
        <is>
          <t>CORRECTO</t>
        </is>
      </c>
      <c r="AE42" s="2" t="inlineStr">
        <is>
          <t>C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D</t>
        </is>
      </c>
      <c r="AJ42" s="3" t="inlineStr">
        <is>
          <t>CORRECTO</t>
        </is>
      </c>
      <c r="AK42" s="2" t="inlineStr">
        <is>
          <t>D</t>
        </is>
      </c>
      <c r="AL42" s="4" t="inlineStr">
        <is>
          <t>INCORRECTO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TRATADO</t>
        </is>
      </c>
      <c r="B43" s="2" t="inlineStr">
        <is>
          <t>111001800554</t>
        </is>
      </c>
      <c r="C43" s="2" t="inlineStr">
        <is>
          <t>COLEGIO EMMA REYES (IED)</t>
        </is>
      </c>
      <c r="D43" s="2" t="inlineStr">
        <is>
          <t>AYLEEN VERONIKA APONTE DUQUE</t>
        </is>
      </c>
      <c r="E43" s="2" t="inlineStr">
        <is>
          <t>1233512270</t>
        </is>
      </c>
      <c r="F43" s="2" t="n">
        <v>3</v>
      </c>
      <c r="G43" s="2" t="n">
        <v>301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A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A</t>
        </is>
      </c>
      <c r="AL43" s="3" t="inlineStr">
        <is>
          <t>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TRATADO</t>
        </is>
      </c>
      <c r="B44" s="2" t="inlineStr">
        <is>
          <t>111001800554</t>
        </is>
      </c>
      <c r="C44" s="2" t="inlineStr">
        <is>
          <t>COLEGIO EMMA REYES (IED)</t>
        </is>
      </c>
      <c r="D44" s="2" t="inlineStr">
        <is>
          <t>LUISA SAMARA RIVERA TOTENA</t>
        </is>
      </c>
      <c r="E44" s="2" t="inlineStr">
        <is>
          <t>1146141154</t>
        </is>
      </c>
      <c r="F44" s="2" t="n">
        <v>3</v>
      </c>
      <c r="G44" s="2" t="n">
        <v>301</v>
      </c>
      <c r="H44" s="2" t="inlineStr">
        <is>
          <t>MATEMÁTICAS</t>
        </is>
      </c>
      <c r="I44" s="2" t="inlineStr">
        <is>
          <t>D</t>
        </is>
      </c>
      <c r="J44" s="3" t="inlineStr">
        <is>
          <t>CORRECTO</t>
        </is>
      </c>
      <c r="K44" s="2" t="inlineStr">
        <is>
          <t>A</t>
        </is>
      </c>
      <c r="L44" s="4" t="inlineStr">
        <is>
          <t>INCORRECTO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A</t>
        </is>
      </c>
      <c r="Z44" s="4" t="inlineStr">
        <is>
          <t>INCORRECTO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D</t>
        </is>
      </c>
      <c r="AD44" s="3" t="inlineStr">
        <is>
          <t>CORRECTO</t>
        </is>
      </c>
      <c r="AE44" s="2" t="inlineStr">
        <is>
          <t>D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D</t>
        </is>
      </c>
      <c r="AJ44" s="3" t="inlineStr">
        <is>
          <t>CORRECTO</t>
        </is>
      </c>
      <c r="AK44" s="2" t="inlineStr">
        <is>
          <t>A</t>
        </is>
      </c>
      <c r="AL44" s="3" t="inlineStr">
        <is>
          <t>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TRATADO</t>
        </is>
      </c>
      <c r="B45" s="2" t="inlineStr">
        <is>
          <t>111001800554</t>
        </is>
      </c>
      <c r="C45" s="2" t="inlineStr">
        <is>
          <t>COLEGIO EMMA REYES (IED)</t>
        </is>
      </c>
      <c r="D45" s="2" t="inlineStr">
        <is>
          <t>LUISA SAMARA RIVERA TOTENA</t>
        </is>
      </c>
      <c r="E45" s="2" t="inlineStr">
        <is>
          <t>1146141154</t>
        </is>
      </c>
      <c r="F45" s="2" t="n">
        <v>3</v>
      </c>
      <c r="G45" s="2" t="n">
        <v>301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A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A</t>
        </is>
      </c>
      <c r="AL45" s="3" t="inlineStr">
        <is>
          <t>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TRATADO</t>
        </is>
      </c>
      <c r="B46" s="2" t="inlineStr">
        <is>
          <t>111001800554</t>
        </is>
      </c>
      <c r="C46" s="2" t="inlineStr">
        <is>
          <t>COLEGIO EMMA REYES (IED)</t>
        </is>
      </c>
      <c r="D46" s="2" t="inlineStr">
        <is>
          <t>ALEJANDRO GARZON MARIN</t>
        </is>
      </c>
      <c r="E46" s="2" t="inlineStr">
        <is>
          <t>1141360803</t>
        </is>
      </c>
      <c r="F46" s="2" t="n">
        <v>3</v>
      </c>
      <c r="G46" s="2" t="n">
        <v>301</v>
      </c>
      <c r="H46" s="2" t="inlineStr">
        <is>
          <t>MATEMÁTICAS</t>
        </is>
      </c>
      <c r="I46" s="2" t="inlineStr">
        <is>
          <t>D</t>
        </is>
      </c>
      <c r="J46" s="3" t="inlineStr">
        <is>
          <t>CORRECTO</t>
        </is>
      </c>
      <c r="K46" s="2" t="inlineStr">
        <is>
          <t>A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D</t>
        </is>
      </c>
      <c r="AD46" s="3" t="inlineStr">
        <is>
          <t>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4" t="inlineStr">
        <is>
          <t>INCORRECTO</t>
        </is>
      </c>
      <c r="AK46" s="2" t="inlineStr">
        <is>
          <t>A</t>
        </is>
      </c>
      <c r="AL46" s="3" t="inlineStr">
        <is>
          <t>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TRATADO</t>
        </is>
      </c>
      <c r="B47" s="2" t="inlineStr">
        <is>
          <t>111001800554</t>
        </is>
      </c>
      <c r="C47" s="2" t="inlineStr">
        <is>
          <t>COLEGIO EMMA REYES (IED)</t>
        </is>
      </c>
      <c r="D47" s="2" t="inlineStr">
        <is>
          <t>ALEJANDRO GARZON MARIN</t>
        </is>
      </c>
      <c r="E47" s="2" t="inlineStr">
        <is>
          <t>1141360803</t>
        </is>
      </c>
      <c r="F47" s="2" t="n">
        <v>3</v>
      </c>
      <c r="G47" s="2" t="n">
        <v>301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A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TRATADO</t>
        </is>
      </c>
      <c r="B48" s="2" t="inlineStr">
        <is>
          <t>111001800554</t>
        </is>
      </c>
      <c r="C48" s="2" t="inlineStr">
        <is>
          <t>COLEGIO EMMA REYES (IED)</t>
        </is>
      </c>
      <c r="D48" s="2" t="inlineStr">
        <is>
          <t>MARIA PAULA BARRERO ARBELAEZ</t>
        </is>
      </c>
      <c r="E48" s="2" t="inlineStr">
        <is>
          <t>1141360262</t>
        </is>
      </c>
      <c r="F48" s="2" t="n">
        <v>3</v>
      </c>
      <c r="G48" s="2" t="n">
        <v>301</v>
      </c>
      <c r="H48" s="2" t="inlineStr">
        <is>
          <t>MATEMÁTICAS</t>
        </is>
      </c>
      <c r="I48" s="2" t="inlineStr">
        <is>
          <t>D</t>
        </is>
      </c>
      <c r="J48" s="3" t="inlineStr">
        <is>
          <t>CORRECTO</t>
        </is>
      </c>
      <c r="K48" s="2" t="inlineStr">
        <is>
          <t>A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D</t>
        </is>
      </c>
      <c r="AD48" s="3" t="inlineStr">
        <is>
          <t>CORRECTO</t>
        </is>
      </c>
      <c r="AE48" s="2" t="inlineStr">
        <is>
          <t>C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D</t>
        </is>
      </c>
      <c r="AJ48" s="3" t="inlineStr">
        <is>
          <t>CORRECTO</t>
        </is>
      </c>
      <c r="AK48" s="2" t="inlineStr">
        <is>
          <t>A</t>
        </is>
      </c>
      <c r="AL48" s="3" t="inlineStr">
        <is>
          <t>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TRATADO</t>
        </is>
      </c>
      <c r="B49" s="2" t="inlineStr">
        <is>
          <t>111001800554</t>
        </is>
      </c>
      <c r="C49" s="2" t="inlineStr">
        <is>
          <t>COLEGIO EMMA REYES (IED)</t>
        </is>
      </c>
      <c r="D49" s="2" t="inlineStr">
        <is>
          <t>MARIA PAULA BARRERO ARBELAEZ</t>
        </is>
      </c>
      <c r="E49" s="2" t="inlineStr">
        <is>
          <t>1141360262</t>
        </is>
      </c>
      <c r="F49" s="2" t="n">
        <v>3</v>
      </c>
      <c r="G49" s="2" t="n">
        <v>301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B</t>
        </is>
      </c>
      <c r="AD49" s="4" t="inlineStr">
        <is>
          <t>INCORRECTO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4" t="inlineStr">
        <is>
          <t>INCORRECTO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C</t>
        </is>
      </c>
      <c r="AL49" s="4" t="inlineStr">
        <is>
          <t>INCORRECTO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TRATADO</t>
        </is>
      </c>
      <c r="B50" s="2" t="inlineStr">
        <is>
          <t>111001800554</t>
        </is>
      </c>
      <c r="C50" s="2" t="inlineStr">
        <is>
          <t>COLEGIO EMMA REYES (IED)</t>
        </is>
      </c>
      <c r="D50" s="2" t="inlineStr">
        <is>
          <t>THOMAS SANTIAGO AREVALO CARREÑO</t>
        </is>
      </c>
      <c r="E50" s="2" t="inlineStr">
        <is>
          <t>1141360148</t>
        </is>
      </c>
      <c r="F50" s="2" t="n">
        <v>3</v>
      </c>
      <c r="G50" s="2" t="n">
        <v>301</v>
      </c>
      <c r="H50" s="2" t="inlineStr">
        <is>
          <t>MATEMÁTICAS</t>
        </is>
      </c>
      <c r="I50" s="2" t="inlineStr">
        <is>
          <t>D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A</t>
        </is>
      </c>
      <c r="V50" s="4" t="inlineStr">
        <is>
          <t>INCORRECTO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D</t>
        </is>
      </c>
      <c r="Z50" s="4" t="inlineStr">
        <is>
          <t>INCORRECTO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D</t>
        </is>
      </c>
      <c r="AD50" s="3" t="inlineStr">
        <is>
          <t>CORRECTO</t>
        </is>
      </c>
      <c r="AE50" s="2" t="inlineStr">
        <is>
          <t>C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D</t>
        </is>
      </c>
      <c r="AJ50" s="3" t="inlineStr">
        <is>
          <t>CORRECTO</t>
        </is>
      </c>
      <c r="AK50" s="2" t="inlineStr">
        <is>
          <t>C</t>
        </is>
      </c>
      <c r="AL50" s="4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TRATADO</t>
        </is>
      </c>
      <c r="B51" s="2" t="inlineStr">
        <is>
          <t>111001800554</t>
        </is>
      </c>
      <c r="C51" s="2" t="inlineStr">
        <is>
          <t>COLEGIO EMMA REYES (IED)</t>
        </is>
      </c>
      <c r="D51" s="2" t="inlineStr">
        <is>
          <t>THOMAS SANTIAGO AREVALO CARREÑO</t>
        </is>
      </c>
      <c r="E51" s="2" t="inlineStr">
        <is>
          <t>1141360148</t>
        </is>
      </c>
      <c r="F51" s="2" t="n">
        <v>3</v>
      </c>
      <c r="G51" s="2" t="n">
        <v>301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C</t>
        </is>
      </c>
      <c r="T51" s="4" t="inlineStr">
        <is>
          <t>INCORRECTO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D</t>
        </is>
      </c>
      <c r="AD51" s="4" t="inlineStr">
        <is>
          <t>INCORRECTO</t>
        </is>
      </c>
      <c r="AE51" s="2" t="inlineStr">
        <is>
          <t>D</t>
        </is>
      </c>
      <c r="AF51" s="4" t="inlineStr">
        <is>
          <t>INCORRECTO</t>
        </is>
      </c>
      <c r="AG51" s="2" t="inlineStr">
        <is>
          <t>A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D</t>
        </is>
      </c>
      <c r="AL51" s="4" t="inlineStr">
        <is>
          <t>INCORRECTO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TRATADO</t>
        </is>
      </c>
      <c r="B52" s="2" t="inlineStr">
        <is>
          <t>111001800554</t>
        </is>
      </c>
      <c r="C52" s="2" t="inlineStr">
        <is>
          <t>COLEGIO EMMA REYES (IED)</t>
        </is>
      </c>
      <c r="D52" s="2" t="inlineStr">
        <is>
          <t>VICTORIA GARCIA MORALES</t>
        </is>
      </c>
      <c r="E52" s="2" t="inlineStr">
        <is>
          <t>1028727646</t>
        </is>
      </c>
      <c r="F52" s="2" t="n">
        <v>3</v>
      </c>
      <c r="G52" s="2" t="n">
        <v>301</v>
      </c>
      <c r="H52" s="2" t="inlineStr">
        <is>
          <t>MATEMÁTICAS</t>
        </is>
      </c>
      <c r="I52" s="2" t="inlineStr">
        <is>
          <t>D</t>
        </is>
      </c>
      <c r="J52" s="3" t="inlineStr">
        <is>
          <t>CORRECTO</t>
        </is>
      </c>
      <c r="K52" s="2" t="inlineStr">
        <is>
          <t>A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4" t="inlineStr">
        <is>
          <t>INCORRECTO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D</t>
        </is>
      </c>
      <c r="AD52" s="3" t="inlineStr">
        <is>
          <t>CORRECTO</t>
        </is>
      </c>
      <c r="AE52" s="2" t="inlineStr">
        <is>
          <t>D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D</t>
        </is>
      </c>
      <c r="AJ52" s="3" t="inlineStr">
        <is>
          <t>CORRECTO</t>
        </is>
      </c>
      <c r="AK52" s="2" t="inlineStr">
        <is>
          <t>A</t>
        </is>
      </c>
      <c r="AL52" s="3" t="inlineStr">
        <is>
          <t>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TRATADO</t>
        </is>
      </c>
      <c r="B53" s="2" t="inlineStr">
        <is>
          <t>111001800554</t>
        </is>
      </c>
      <c r="C53" s="2" t="inlineStr">
        <is>
          <t>COLEGIO EMMA REYES (IED)</t>
        </is>
      </c>
      <c r="D53" s="2" t="inlineStr">
        <is>
          <t>VICTORIA GARCIA MORALES</t>
        </is>
      </c>
      <c r="E53" s="2" t="inlineStr">
        <is>
          <t>1028727646</t>
        </is>
      </c>
      <c r="F53" s="2" t="n">
        <v>3</v>
      </c>
      <c r="G53" s="2" t="n">
        <v>301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A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3" t="inlineStr">
        <is>
          <t>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TRATADO</t>
        </is>
      </c>
      <c r="B54" s="2" t="inlineStr">
        <is>
          <t>111001800554</t>
        </is>
      </c>
      <c r="C54" s="2" t="inlineStr">
        <is>
          <t>COLEGIO EMMA REYES (IED)</t>
        </is>
      </c>
      <c r="D54" s="2" t="inlineStr">
        <is>
          <t>EMMANUEL JIMENEZ BARRETO</t>
        </is>
      </c>
      <c r="E54" s="2" t="inlineStr">
        <is>
          <t>1222216617</t>
        </is>
      </c>
      <c r="F54" s="2" t="n">
        <v>3</v>
      </c>
      <c r="G54" s="2" t="n">
        <v>301</v>
      </c>
      <c r="H54" s="2" t="inlineStr">
        <is>
          <t>MATEMÁTICAS</t>
        </is>
      </c>
      <c r="I54" s="2" t="inlineStr">
        <is>
          <t>B</t>
        </is>
      </c>
      <c r="J54" s="4" t="inlineStr">
        <is>
          <t>INCORRECTO</t>
        </is>
      </c>
      <c r="K54" s="2" t="inlineStr">
        <is>
          <t>D</t>
        </is>
      </c>
      <c r="L54" s="4" t="inlineStr">
        <is>
          <t>INCORRECTO</t>
        </is>
      </c>
      <c r="M54" s="2" t="inlineStr">
        <is>
          <t>A</t>
        </is>
      </c>
      <c r="N54" s="4" t="inlineStr">
        <is>
          <t>INCORRECTO</t>
        </is>
      </c>
      <c r="O54" s="2" t="inlineStr">
        <is>
          <t>D</t>
        </is>
      </c>
      <c r="P54" s="4" t="inlineStr">
        <is>
          <t>INCORRECTO</t>
        </is>
      </c>
      <c r="Q54" s="2" t="inlineStr">
        <is>
          <t>C</t>
        </is>
      </c>
      <c r="R54" s="4" t="inlineStr">
        <is>
          <t>INCORRECTO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D</t>
        </is>
      </c>
      <c r="V54" s="4" t="inlineStr">
        <is>
          <t>INCORRECTO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B</t>
        </is>
      </c>
      <c r="AD54" s="4" t="inlineStr">
        <is>
          <t>INCORRECTO</t>
        </is>
      </c>
      <c r="AE54" s="2" t="inlineStr">
        <is>
          <t>D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D</t>
        </is>
      </c>
      <c r="AJ54" s="3" t="inlineStr">
        <is>
          <t>CORRECTO</t>
        </is>
      </c>
      <c r="AK54" s="2" t="inlineStr">
        <is>
          <t>A</t>
        </is>
      </c>
      <c r="AL54" s="3" t="inlineStr">
        <is>
          <t>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TRATADO</t>
        </is>
      </c>
      <c r="B55" s="2" t="inlineStr">
        <is>
          <t>111001800554</t>
        </is>
      </c>
      <c r="C55" s="2" t="inlineStr">
        <is>
          <t>COLEGIO EMMA REYES (IED)</t>
        </is>
      </c>
      <c r="D55" s="2" t="inlineStr">
        <is>
          <t>EMMANUEL JIMENEZ BARRETO</t>
        </is>
      </c>
      <c r="E55" s="2" t="inlineStr">
        <is>
          <t>1222216617</t>
        </is>
      </c>
      <c r="F55" s="2" t="n">
        <v>3</v>
      </c>
      <c r="G55" s="2" t="n">
        <v>301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D</t>
        </is>
      </c>
      <c r="L55" s="4" t="inlineStr">
        <is>
          <t>INCORRECTO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C</t>
        </is>
      </c>
      <c r="AH55" s="4" t="inlineStr">
        <is>
          <t>INCORRECTO</t>
        </is>
      </c>
      <c r="AI55" s="2" t="inlineStr">
        <is>
          <t>D</t>
        </is>
      </c>
      <c r="AJ55" s="4" t="inlineStr">
        <is>
          <t>INCORRECTO</t>
        </is>
      </c>
      <c r="AK55" s="2" t="inlineStr">
        <is>
          <t>D</t>
        </is>
      </c>
      <c r="AL55" s="4" t="inlineStr">
        <is>
          <t>INCORRECTO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TRATADO</t>
        </is>
      </c>
      <c r="B56" s="2" t="inlineStr">
        <is>
          <t>111001800554</t>
        </is>
      </c>
      <c r="C56" s="2" t="inlineStr">
        <is>
          <t>COLEGIO EMMA REYES (IED)</t>
        </is>
      </c>
      <c r="D56" s="2" t="inlineStr">
        <is>
          <t>ANGEL MARTIN GOMEZ GARCIA</t>
        </is>
      </c>
      <c r="E56" s="2" t="inlineStr">
        <is>
          <t>1141360141</t>
        </is>
      </c>
      <c r="F56" s="2" t="n">
        <v>3</v>
      </c>
      <c r="G56" s="2" t="n">
        <v>301</v>
      </c>
      <c r="H56" s="2" t="inlineStr">
        <is>
          <t>MATEMÁTICAS</t>
        </is>
      </c>
      <c r="I56" s="2" t="inlineStr">
        <is>
          <t>D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C</t>
        </is>
      </c>
      <c r="V56" s="4" t="inlineStr">
        <is>
          <t>INCORRECTO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D</t>
        </is>
      </c>
      <c r="AD56" s="3" t="inlineStr">
        <is>
          <t>CORRECTO</t>
        </is>
      </c>
      <c r="AE56" s="2" t="inlineStr">
        <is>
          <t>C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D</t>
        </is>
      </c>
      <c r="AJ56" s="3" t="inlineStr">
        <is>
          <t>CORRECTO</t>
        </is>
      </c>
      <c r="AK56" s="2" t="inlineStr">
        <is>
          <t>A</t>
        </is>
      </c>
      <c r="AL56" s="3" t="inlineStr">
        <is>
          <t>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TRATADO</t>
        </is>
      </c>
      <c r="B57" s="2" t="inlineStr">
        <is>
          <t>111001800554</t>
        </is>
      </c>
      <c r="C57" s="2" t="inlineStr">
        <is>
          <t>COLEGIO EMMA REYES (IED)</t>
        </is>
      </c>
      <c r="D57" s="2" t="inlineStr">
        <is>
          <t>ANGEL MARTIN GOMEZ GARCIA</t>
        </is>
      </c>
      <c r="E57" s="2" t="inlineStr">
        <is>
          <t>1141360141</t>
        </is>
      </c>
      <c r="F57" s="2" t="n">
        <v>3</v>
      </c>
      <c r="G57" s="2" t="n">
        <v>301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A</t>
        </is>
      </c>
      <c r="AL57" s="3" t="inlineStr">
        <is>
          <t>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TRATADO</t>
        </is>
      </c>
      <c r="B58" s="2" t="inlineStr">
        <is>
          <t>111001800554</t>
        </is>
      </c>
      <c r="C58" s="2" t="inlineStr">
        <is>
          <t>COLEGIO EMMA REYES (IED)</t>
        </is>
      </c>
      <c r="D58" s="2" t="inlineStr">
        <is>
          <t>BIANCA SAMAY GONZALEZ BARRERA</t>
        </is>
      </c>
      <c r="E58" s="2" t="inlineStr">
        <is>
          <t>1019152009</t>
        </is>
      </c>
      <c r="F58" s="2" t="n">
        <v>3</v>
      </c>
      <c r="G58" s="2" t="n">
        <v>301</v>
      </c>
      <c r="H58" s="2" t="inlineStr">
        <is>
          <t>MATEMÁTICAS</t>
        </is>
      </c>
      <c r="I58" s="2" t="inlineStr">
        <is>
          <t>D</t>
        </is>
      </c>
      <c r="J58" s="3" t="inlineStr">
        <is>
          <t>CORRECTO</t>
        </is>
      </c>
      <c r="K58" s="2" t="inlineStr">
        <is>
          <t>C</t>
        </is>
      </c>
      <c r="L58" s="4" t="inlineStr">
        <is>
          <t>INCORRECTO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C</t>
        </is>
      </c>
      <c r="V58" s="4" t="inlineStr">
        <is>
          <t>INCORRECTO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D</t>
        </is>
      </c>
      <c r="AD58" s="3" t="inlineStr">
        <is>
          <t>CORRECTO</t>
        </is>
      </c>
      <c r="AE58" s="2" t="inlineStr">
        <is>
          <t>C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D</t>
        </is>
      </c>
      <c r="AJ58" s="3" t="inlineStr">
        <is>
          <t>CORRECTO</t>
        </is>
      </c>
      <c r="AK58" s="2" t="inlineStr">
        <is>
          <t>A</t>
        </is>
      </c>
      <c r="AL58" s="3" t="inlineStr">
        <is>
          <t>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TRATADO</t>
        </is>
      </c>
      <c r="B59" s="2" t="inlineStr">
        <is>
          <t>111001800554</t>
        </is>
      </c>
      <c r="C59" s="2" t="inlineStr">
        <is>
          <t>COLEGIO EMMA REYES (IED)</t>
        </is>
      </c>
      <c r="D59" s="2" t="inlineStr">
        <is>
          <t>BIANCA SAMAY GONZALEZ BARRERA</t>
        </is>
      </c>
      <c r="E59" s="2" t="inlineStr">
        <is>
          <t>1019152009</t>
        </is>
      </c>
      <c r="F59" s="2" t="n">
        <v>3</v>
      </c>
      <c r="G59" s="2" t="n">
        <v>301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A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A</t>
        </is>
      </c>
      <c r="AL59" s="3" t="inlineStr">
        <is>
          <t>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>
        <is>
          <t>TRATADO</t>
        </is>
      </c>
      <c r="B60" s="2" t="inlineStr">
        <is>
          <t>111001800554</t>
        </is>
      </c>
      <c r="C60" s="2" t="inlineStr">
        <is>
          <t>COLEGIO EMMA REYES (IED)</t>
        </is>
      </c>
      <c r="D60" s="2" t="inlineStr">
        <is>
          <t>JUAN JOSHE ARIAS ZULETA</t>
        </is>
      </c>
      <c r="E60" s="2" t="inlineStr">
        <is>
          <t>1141355733</t>
        </is>
      </c>
      <c r="F60" s="2" t="n">
        <v>3</v>
      </c>
      <c r="G60" s="2" t="n">
        <v>301</v>
      </c>
      <c r="H60" s="2" t="inlineStr">
        <is>
          <t>MATEMÁTICAS</t>
        </is>
      </c>
      <c r="I60" s="2" t="inlineStr">
        <is>
          <t>D</t>
        </is>
      </c>
      <c r="J60" s="3" t="inlineStr">
        <is>
          <t>CORRECTO</t>
        </is>
      </c>
      <c r="K60" s="2" t="inlineStr">
        <is>
          <t>A</t>
        </is>
      </c>
      <c r="L60" s="4" t="inlineStr">
        <is>
          <t>INCORRECTO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A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D</t>
        </is>
      </c>
      <c r="AD60" s="3" t="inlineStr">
        <is>
          <t>CORRECTO</t>
        </is>
      </c>
      <c r="AE60" s="2" t="inlineStr">
        <is>
          <t>C</t>
        </is>
      </c>
      <c r="AF60" s="4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D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>
        <is>
          <t>TRATADO</t>
        </is>
      </c>
      <c r="B61" s="2" t="inlineStr">
        <is>
          <t>111001800554</t>
        </is>
      </c>
      <c r="C61" s="2" t="inlineStr">
        <is>
          <t>COLEGIO EMMA REYES (IED)</t>
        </is>
      </c>
      <c r="D61" s="2" t="inlineStr">
        <is>
          <t>JUAN JOSHE ARIAS ZULETA</t>
        </is>
      </c>
      <c r="E61" s="2" t="inlineStr">
        <is>
          <t>1141355733</t>
        </is>
      </c>
      <c r="F61" s="2" t="n">
        <v>3</v>
      </c>
      <c r="G61" s="2" t="n">
        <v>301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A</t>
        </is>
      </c>
      <c r="P61" s="4" t="inlineStr">
        <is>
          <t>INCORRECTO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B</t>
        </is>
      </c>
      <c r="AB61" s="4" t="inlineStr">
        <is>
          <t>INCORRECTO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C</t>
        </is>
      </c>
      <c r="AH61" s="4" t="inlineStr">
        <is>
          <t>INCORRECTO</t>
        </is>
      </c>
      <c r="AI61" s="2" t="inlineStr">
        <is>
          <t>C</t>
        </is>
      </c>
      <c r="AJ61" s="4" t="inlineStr">
        <is>
          <t>INCORRECTO</t>
        </is>
      </c>
      <c r="AK61" s="2" t="inlineStr">
        <is>
          <t>D</t>
        </is>
      </c>
      <c r="AL61" s="4" t="inlineStr">
        <is>
          <t>INCORRECTO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>
        <is>
          <t>TRATADO</t>
        </is>
      </c>
      <c r="B62" s="2" t="inlineStr">
        <is>
          <t>111001800554</t>
        </is>
      </c>
      <c r="C62" s="2" t="inlineStr">
        <is>
          <t>COLEGIO EMMA REYES (IED)</t>
        </is>
      </c>
      <c r="D62" s="2" t="inlineStr">
        <is>
          <t>RACHEL ARIANA MELO FARIAS</t>
        </is>
      </c>
      <c r="E62" s="2" t="inlineStr">
        <is>
          <t>1141360057</t>
        </is>
      </c>
      <c r="F62" s="2" t="n">
        <v>3</v>
      </c>
      <c r="G62" s="2" t="n">
        <v>301</v>
      </c>
      <c r="H62" s="2" t="inlineStr">
        <is>
          <t>MATEMÁTICAS</t>
        </is>
      </c>
      <c r="I62" s="2" t="inlineStr">
        <is>
          <t>D</t>
        </is>
      </c>
      <c r="J62" s="3" t="inlineStr">
        <is>
          <t>CORRECTO</t>
        </is>
      </c>
      <c r="K62" s="2" t="inlineStr">
        <is>
          <t>C</t>
        </is>
      </c>
      <c r="L62" s="4" t="inlineStr">
        <is>
          <t>INCORRECTO</t>
        </is>
      </c>
      <c r="M62" s="2" t="inlineStr">
        <is>
          <t>A</t>
        </is>
      </c>
      <c r="N62" s="4" t="inlineStr">
        <is>
          <t>INCORRECTO</t>
        </is>
      </c>
      <c r="O62" s="2" t="inlineStr">
        <is>
          <t>A</t>
        </is>
      </c>
      <c r="P62" s="4" t="inlineStr">
        <is>
          <t>INCORRECTO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B</t>
        </is>
      </c>
      <c r="T62" s="4" t="inlineStr">
        <is>
          <t>INCORRECTO</t>
        </is>
      </c>
      <c r="U62" s="2" t="inlineStr">
        <is>
          <t>C</t>
        </is>
      </c>
      <c r="V62" s="4" t="inlineStr">
        <is>
          <t>INCORRECTO</t>
        </is>
      </c>
      <c r="W62" s="2" t="inlineStr">
        <is>
          <t>D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D</t>
        </is>
      </c>
      <c r="AB62" s="4" t="inlineStr">
        <is>
          <t>INCORRECTO</t>
        </is>
      </c>
      <c r="AC62" s="2" t="inlineStr">
        <is>
          <t>D</t>
        </is>
      </c>
      <c r="AD62" s="3" t="inlineStr">
        <is>
          <t>CORRECTO</t>
        </is>
      </c>
      <c r="AE62" s="2" t="inlineStr">
        <is>
          <t>D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D</t>
        </is>
      </c>
      <c r="AJ62" s="3" t="inlineStr">
        <is>
          <t>CORRECTO</t>
        </is>
      </c>
      <c r="AK62" s="2" t="inlineStr">
        <is>
          <t>C</t>
        </is>
      </c>
      <c r="AL62" s="4" t="inlineStr">
        <is>
          <t>INCORRECTO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>
        <is>
          <t>TRATADO</t>
        </is>
      </c>
      <c r="B63" s="2" t="inlineStr">
        <is>
          <t>111001800554</t>
        </is>
      </c>
      <c r="C63" s="2" t="inlineStr">
        <is>
          <t>COLEGIO EMMA REYES (IED)</t>
        </is>
      </c>
      <c r="D63" s="2" t="inlineStr">
        <is>
          <t>RACHEL ARIANA MELO FARIAS</t>
        </is>
      </c>
      <c r="E63" s="2" t="inlineStr">
        <is>
          <t>1141360057</t>
        </is>
      </c>
      <c r="F63" s="2" t="n">
        <v>3</v>
      </c>
      <c r="G63" s="2" t="n">
        <v>301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C</t>
        </is>
      </c>
      <c r="L63" s="4" t="inlineStr">
        <is>
          <t>INCORRECTO</t>
        </is>
      </c>
      <c r="M63" s="2" t="inlineStr">
        <is>
          <t>C</t>
        </is>
      </c>
      <c r="N63" s="4" t="inlineStr">
        <is>
          <t>INCORRECTO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A</t>
        </is>
      </c>
      <c r="T63" s="4" t="inlineStr">
        <is>
          <t>INCORRECTO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B</t>
        </is>
      </c>
      <c r="AD63" s="4" t="inlineStr">
        <is>
          <t>INCORRECTO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A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A</t>
        </is>
      </c>
      <c r="AL63" s="3" t="inlineStr">
        <is>
          <t>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>
        <is>
          <t>TRATADO</t>
        </is>
      </c>
      <c r="B64" s="2" t="inlineStr">
        <is>
          <t>111001800554</t>
        </is>
      </c>
      <c r="C64" s="2" t="inlineStr">
        <is>
          <t>COLEGIO EMMA REYES (IED)</t>
        </is>
      </c>
      <c r="D64" s="2" t="inlineStr">
        <is>
          <t>GABRIEL MATHIAS VILLAMIL PIÑARETE</t>
        </is>
      </c>
      <c r="E64" s="2" t="inlineStr">
        <is>
          <t>1034670273</t>
        </is>
      </c>
      <c r="F64" s="2" t="n">
        <v>3</v>
      </c>
      <c r="G64" s="2" t="n">
        <v>301</v>
      </c>
      <c r="H64" s="2" t="inlineStr">
        <is>
          <t>MATEMÁTICAS</t>
        </is>
      </c>
      <c r="I64" s="2" t="inlineStr">
        <is>
          <t>B</t>
        </is>
      </c>
      <c r="J64" s="4" t="inlineStr">
        <is>
          <t>INCORRECTO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D</t>
        </is>
      </c>
      <c r="P64" s="4" t="inlineStr">
        <is>
          <t>INCORRECTO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B</t>
        </is>
      </c>
      <c r="Z64" s="4" t="inlineStr">
        <is>
          <t>INCORRECTO</t>
        </is>
      </c>
      <c r="AA64" s="2" t="inlineStr">
        <is>
          <t>D</t>
        </is>
      </c>
      <c r="AB64" s="4" t="inlineStr">
        <is>
          <t>INCORRECTO</t>
        </is>
      </c>
      <c r="AC64" s="2" t="inlineStr">
        <is>
          <t>D</t>
        </is>
      </c>
      <c r="AD64" s="3" t="inlineStr">
        <is>
          <t>CORRECTO</t>
        </is>
      </c>
      <c r="AE64" s="2" t="inlineStr">
        <is>
          <t>D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D</t>
        </is>
      </c>
      <c r="AJ64" s="3" t="inlineStr">
        <is>
          <t>CORRECTO</t>
        </is>
      </c>
      <c r="AK64" s="2" t="inlineStr">
        <is>
          <t>C</t>
        </is>
      </c>
      <c r="AL64" s="4" t="inlineStr">
        <is>
          <t>INCORRECTO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>
        <is>
          <t>TRATADO</t>
        </is>
      </c>
      <c r="B65" s="2" t="inlineStr">
        <is>
          <t>111001800554</t>
        </is>
      </c>
      <c r="C65" s="2" t="inlineStr">
        <is>
          <t>COLEGIO EMMA REYES (IED)</t>
        </is>
      </c>
      <c r="D65" s="2" t="inlineStr">
        <is>
          <t>GABRIEL MATHIAS VILLAMIL PIÑARETE</t>
        </is>
      </c>
      <c r="E65" s="2" t="inlineStr">
        <is>
          <t>1034670273</t>
        </is>
      </c>
      <c r="F65" s="2" t="n">
        <v>3</v>
      </c>
      <c r="G65" s="2" t="n">
        <v>301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B</t>
        </is>
      </c>
      <c r="AH65" s="4" t="inlineStr">
        <is>
          <t>INCORRECTO</t>
        </is>
      </c>
      <c r="AI65" s="2" t="inlineStr">
        <is>
          <t>A</t>
        </is>
      </c>
      <c r="AJ65" s="4" t="inlineStr">
        <is>
          <t>INCORRECTO</t>
        </is>
      </c>
      <c r="AK65" s="2" t="inlineStr">
        <is>
          <t>C</t>
        </is>
      </c>
      <c r="AL65" s="4" t="inlineStr">
        <is>
          <t>INCORRECTO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>
        <is>
          <t>TRATADO</t>
        </is>
      </c>
      <c r="B66" s="2" t="inlineStr">
        <is>
          <t>111001800554</t>
        </is>
      </c>
      <c r="C66" s="2" t="inlineStr">
        <is>
          <t>COLEGIO EMMA REYES (IED)</t>
        </is>
      </c>
      <c r="D66" s="2" t="inlineStr">
        <is>
          <t>EMMANUEL DAVID CETINA PRADILLA</t>
        </is>
      </c>
      <c r="E66" s="2" t="inlineStr">
        <is>
          <t>1034790547</t>
        </is>
      </c>
      <c r="F66" s="2" t="n">
        <v>3</v>
      </c>
      <c r="G66" s="2" t="n">
        <v>301</v>
      </c>
      <c r="H66" s="2" t="inlineStr">
        <is>
          <t>MATEMÁTICAS</t>
        </is>
      </c>
      <c r="I66" s="2" t="inlineStr">
        <is>
          <t>D</t>
        </is>
      </c>
      <c r="J66" s="3" t="inlineStr">
        <is>
          <t>CORRECTO</t>
        </is>
      </c>
      <c r="K66" s="2" t="inlineStr">
        <is>
          <t>A</t>
        </is>
      </c>
      <c r="L66" s="4" t="inlineStr">
        <is>
          <t>INCORRECTO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D</t>
        </is>
      </c>
      <c r="R66" s="4" t="inlineStr">
        <is>
          <t>INCORRECTO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C</t>
        </is>
      </c>
      <c r="V66" s="4" t="inlineStr">
        <is>
          <t>INCORRECTO</t>
        </is>
      </c>
      <c r="W66" s="2" t="inlineStr">
        <is>
          <t>B</t>
        </is>
      </c>
      <c r="X66" s="4" t="inlineStr">
        <is>
          <t>INCORRECTO</t>
        </is>
      </c>
      <c r="Y66" s="2" t="inlineStr">
        <is>
          <t>A</t>
        </is>
      </c>
      <c r="Z66" s="4" t="inlineStr">
        <is>
          <t>INCORRECTO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D</t>
        </is>
      </c>
      <c r="AD66" s="3" t="inlineStr">
        <is>
          <t>CORRECTO</t>
        </is>
      </c>
      <c r="AE66" s="2" t="inlineStr">
        <is>
          <t>C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D</t>
        </is>
      </c>
      <c r="AJ66" s="3" t="inlineStr">
        <is>
          <t>CORRECTO</t>
        </is>
      </c>
      <c r="AK66" s="2" t="inlineStr">
        <is>
          <t>B</t>
        </is>
      </c>
      <c r="AL66" s="4" t="inlineStr">
        <is>
          <t>INCORRECTO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>
        <is>
          <t>TRATADO</t>
        </is>
      </c>
      <c r="B67" s="2" t="inlineStr">
        <is>
          <t>111001800554</t>
        </is>
      </c>
      <c r="C67" s="2" t="inlineStr">
        <is>
          <t>COLEGIO EMMA REYES (IED)</t>
        </is>
      </c>
      <c r="D67" s="2" t="inlineStr">
        <is>
          <t>EMMANUEL DAVID CETINA PRADILLA</t>
        </is>
      </c>
      <c r="E67" s="2" t="inlineStr">
        <is>
          <t>1034790547</t>
        </is>
      </c>
      <c r="F67" s="2" t="n">
        <v>3</v>
      </c>
      <c r="G67" s="2" t="n">
        <v>301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B</t>
        </is>
      </c>
      <c r="AD67" s="4" t="inlineStr">
        <is>
          <t>INCORRECTO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A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A</t>
        </is>
      </c>
      <c r="AL67" s="3" t="inlineStr">
        <is>
          <t>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  <row r="68">
      <c r="A68" s="2" t="inlineStr">
        <is>
          <t>TRATADO</t>
        </is>
      </c>
      <c r="B68" s="2" t="inlineStr">
        <is>
          <t>111001800554</t>
        </is>
      </c>
      <c r="C68" s="2" t="inlineStr">
        <is>
          <t>COLEGIO EMMA REYES (IED)</t>
        </is>
      </c>
      <c r="D68" s="2" t="inlineStr">
        <is>
          <t>EMILY SOFIA PATIÑO PEDRAZA</t>
        </is>
      </c>
      <c r="E68" s="2" t="inlineStr">
        <is>
          <t>1030699577</t>
        </is>
      </c>
      <c r="F68" s="2" t="n">
        <v>3</v>
      </c>
      <c r="G68" s="2" t="n">
        <v>301</v>
      </c>
      <c r="H68" s="2" t="inlineStr">
        <is>
          <t>MATEMÁTICAS</t>
        </is>
      </c>
      <c r="I68" s="2" t="inlineStr">
        <is>
          <t>D</t>
        </is>
      </c>
      <c r="J68" s="3" t="inlineStr">
        <is>
          <t>CORRECTO</t>
        </is>
      </c>
      <c r="K68" s="2" t="inlineStr">
        <is>
          <t>D</t>
        </is>
      </c>
      <c r="L68" s="4" t="inlineStr">
        <is>
          <t>INCORRECTO</t>
        </is>
      </c>
      <c r="M68" s="2" t="inlineStr">
        <is>
          <t>A</t>
        </is>
      </c>
      <c r="N68" s="4" t="inlineStr">
        <is>
          <t>INCORRECTO</t>
        </is>
      </c>
      <c r="O68" s="2" t="inlineStr">
        <is>
          <t>D</t>
        </is>
      </c>
      <c r="P68" s="4" t="inlineStr">
        <is>
          <t>INCORRECTO</t>
        </is>
      </c>
      <c r="Q68" s="2" t="inlineStr">
        <is>
          <t>C</t>
        </is>
      </c>
      <c r="R68" s="4" t="inlineStr">
        <is>
          <t>INCORRECTO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4" t="inlineStr">
        <is>
          <t>INCORRECTO</t>
        </is>
      </c>
      <c r="Y68" s="2" t="inlineStr">
        <is>
          <t>A</t>
        </is>
      </c>
      <c r="Z68" s="4" t="inlineStr">
        <is>
          <t>INCORRECTO</t>
        </is>
      </c>
      <c r="AA68" s="2" t="inlineStr">
        <is>
          <t>D</t>
        </is>
      </c>
      <c r="AB68" s="4" t="inlineStr">
        <is>
          <t>INCORRECTO</t>
        </is>
      </c>
      <c r="AC68" s="2" t="inlineStr">
        <is>
          <t>D</t>
        </is>
      </c>
      <c r="AD68" s="3" t="inlineStr">
        <is>
          <t>CORRECTO</t>
        </is>
      </c>
      <c r="AE68" s="2" t="inlineStr">
        <is>
          <t>D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D</t>
        </is>
      </c>
      <c r="AJ68" s="3" t="inlineStr">
        <is>
          <t>CORRECTO</t>
        </is>
      </c>
      <c r="AK68" s="2" t="inlineStr">
        <is>
          <t>C</t>
        </is>
      </c>
      <c r="AL68" s="4" t="inlineStr">
        <is>
          <t>INCORRECTO</t>
        </is>
      </c>
      <c r="AM68" s="5">
        <f>COUNTIF(J68:AL68,"CORRECTO")</f>
        <v/>
      </c>
      <c r="AN68" s="5">
        <f>COUNTIF(J68:AL68,"INCORRECTO")</f>
        <v/>
      </c>
      <c r="AO68" s="5" t="n">
        <v>15</v>
      </c>
      <c r="AP68" s="6">
        <f>AM68/AO68</f>
        <v/>
      </c>
    </row>
    <row r="69">
      <c r="A69" s="2" t="inlineStr">
        <is>
          <t>TRATADO</t>
        </is>
      </c>
      <c r="B69" s="2" t="inlineStr">
        <is>
          <t>111001800554</t>
        </is>
      </c>
      <c r="C69" s="2" t="inlineStr">
        <is>
          <t>COLEGIO EMMA REYES (IED)</t>
        </is>
      </c>
      <c r="D69" s="2" t="inlineStr">
        <is>
          <t>EMILY SOFIA PATIÑO PEDRAZA</t>
        </is>
      </c>
      <c r="E69" s="2" t="inlineStr">
        <is>
          <t>1030699577</t>
        </is>
      </c>
      <c r="F69" s="2" t="n">
        <v>3</v>
      </c>
      <c r="G69" s="2" t="n">
        <v>301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D</t>
        </is>
      </c>
      <c r="AD69" s="4" t="inlineStr">
        <is>
          <t>INCORRECTO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A</t>
        </is>
      </c>
      <c r="AH69" s="3" t="inlineStr">
        <is>
          <t>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D</t>
        </is>
      </c>
      <c r="AL69" s="4" t="inlineStr">
        <is>
          <t>INCORRECTO</t>
        </is>
      </c>
      <c r="AM69" s="5">
        <f>COUNTIF(J69:AL69,"CORRECTO")</f>
        <v/>
      </c>
      <c r="AN69" s="5">
        <f>COUNTIF(J69:AL69,"INCORRECTO")</f>
        <v/>
      </c>
      <c r="AO69" s="5" t="n">
        <v>15</v>
      </c>
      <c r="AP69" s="6">
        <f>AM69/AO69</f>
        <v/>
      </c>
    </row>
    <row r="70">
      <c r="A70" s="2" t="inlineStr">
        <is>
          <t>TRATADO</t>
        </is>
      </c>
      <c r="B70" s="2" t="inlineStr">
        <is>
          <t>111001800554</t>
        </is>
      </c>
      <c r="C70" s="2" t="inlineStr">
        <is>
          <t>COLEGIO EMMA REYES (IED)</t>
        </is>
      </c>
      <c r="D70" s="2" t="inlineStr">
        <is>
          <t>JOSE ALEJANDRO OSORIO OLAYA</t>
        </is>
      </c>
      <c r="E70" s="2" t="inlineStr">
        <is>
          <t>1145932471</t>
        </is>
      </c>
      <c r="F70" s="2" t="n">
        <v>3</v>
      </c>
      <c r="G70" s="2" t="n">
        <v>301</v>
      </c>
      <c r="H70" s="2" t="inlineStr">
        <is>
          <t>MATEMÁTICAS</t>
        </is>
      </c>
      <c r="I70" s="2" t="inlineStr">
        <is>
          <t>D</t>
        </is>
      </c>
      <c r="J70" s="3" t="inlineStr">
        <is>
          <t>CORRECTO</t>
        </is>
      </c>
      <c r="K70" s="2" t="inlineStr">
        <is>
          <t>A</t>
        </is>
      </c>
      <c r="L70" s="4" t="inlineStr">
        <is>
          <t>INCORRECTO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C</t>
        </is>
      </c>
      <c r="V70" s="4" t="inlineStr">
        <is>
          <t>INCORRECTO</t>
        </is>
      </c>
      <c r="W70" s="2" t="inlineStr">
        <is>
          <t>D</t>
        </is>
      </c>
      <c r="X70" s="3" t="inlineStr">
        <is>
          <t>CORRECTO</t>
        </is>
      </c>
      <c r="Y70" s="2" t="inlineStr">
        <is>
          <t>A</t>
        </is>
      </c>
      <c r="Z70" s="4" t="inlineStr">
        <is>
          <t>INCORRECTO</t>
        </is>
      </c>
      <c r="AA70" s="2" t="inlineStr">
        <is>
          <t>A</t>
        </is>
      </c>
      <c r="AB70" s="4" t="inlineStr">
        <is>
          <t>INCORRECTO</t>
        </is>
      </c>
      <c r="AC70" s="2" t="inlineStr">
        <is>
          <t>D</t>
        </is>
      </c>
      <c r="AD70" s="3" t="inlineStr">
        <is>
          <t>CORRECTO</t>
        </is>
      </c>
      <c r="AE70" s="2" t="inlineStr">
        <is>
          <t>C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D</t>
        </is>
      </c>
      <c r="AJ70" s="3" t="inlineStr">
        <is>
          <t>CORRECTO</t>
        </is>
      </c>
      <c r="AK70" s="2" t="inlineStr">
        <is>
          <t>A</t>
        </is>
      </c>
      <c r="AL70" s="3" t="inlineStr">
        <is>
          <t>CORRECTO</t>
        </is>
      </c>
      <c r="AM70" s="5">
        <f>COUNTIF(J70:AL70,"CORRECTO")</f>
        <v/>
      </c>
      <c r="AN70" s="5">
        <f>COUNTIF(J70:AL70,"INCORRECTO")</f>
        <v/>
      </c>
      <c r="AO70" s="5" t="n">
        <v>15</v>
      </c>
      <c r="AP70" s="6">
        <f>AM70/AO70</f>
        <v/>
      </c>
    </row>
    <row r="71">
      <c r="A71" s="2" t="inlineStr">
        <is>
          <t>TRATADO</t>
        </is>
      </c>
      <c r="B71" s="2" t="inlineStr">
        <is>
          <t>111001800554</t>
        </is>
      </c>
      <c r="C71" s="2" t="inlineStr">
        <is>
          <t>COLEGIO EMMA REYES (IED)</t>
        </is>
      </c>
      <c r="D71" s="2" t="inlineStr">
        <is>
          <t>JOSE ALEJANDRO OSORIO OLAYA</t>
        </is>
      </c>
      <c r="E71" s="2" t="inlineStr">
        <is>
          <t>1145932471</t>
        </is>
      </c>
      <c r="F71" s="2" t="n">
        <v>3</v>
      </c>
      <c r="G71" s="2" t="n">
        <v>301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D</t>
        </is>
      </c>
      <c r="AF71" s="4" t="inlineStr">
        <is>
          <t>INCORRECTO</t>
        </is>
      </c>
      <c r="AG71" s="2" t="inlineStr">
        <is>
          <t>A</t>
        </is>
      </c>
      <c r="AH71" s="3" t="inlineStr">
        <is>
          <t>CORRECTO</t>
        </is>
      </c>
      <c r="AI71" s="2" t="inlineStr">
        <is>
          <t>B</t>
        </is>
      </c>
      <c r="AJ71" s="3" t="inlineStr">
        <is>
          <t>CORRECTO</t>
        </is>
      </c>
      <c r="AK71" s="2" t="inlineStr">
        <is>
          <t>D</t>
        </is>
      </c>
      <c r="AL71" s="4" t="inlineStr">
        <is>
          <t>INCORRECTO</t>
        </is>
      </c>
      <c r="AM71" s="5">
        <f>COUNTIF(J71:AL71,"CORRECTO")</f>
        <v/>
      </c>
      <c r="AN71" s="5">
        <f>COUNTIF(J71:AL71,"INCORRECTO")</f>
        <v/>
      </c>
      <c r="AO71" s="5" t="n">
        <v>15</v>
      </c>
      <c r="AP71" s="6">
        <f>AM71/AO71</f>
        <v/>
      </c>
    </row>
    <row r="72">
      <c r="A72" s="2" t="inlineStr">
        <is>
          <t>TRATADO</t>
        </is>
      </c>
      <c r="B72" s="2" t="inlineStr">
        <is>
          <t>111001800554</t>
        </is>
      </c>
      <c r="C72" s="2" t="inlineStr">
        <is>
          <t>COLEGIO EMMA REYES (IED)</t>
        </is>
      </c>
      <c r="D72" s="2" t="inlineStr">
        <is>
          <t>LIAM THOMAS RAMIREZ CADENA</t>
        </is>
      </c>
      <c r="E72" s="2" t="inlineStr">
        <is>
          <t>1140934380</t>
        </is>
      </c>
      <c r="F72" s="2" t="n">
        <v>3</v>
      </c>
      <c r="G72" s="2" t="n">
        <v>301</v>
      </c>
      <c r="H72" s="2" t="inlineStr">
        <is>
          <t>MATEMÁTICAS</t>
        </is>
      </c>
      <c r="I72" s="2" t="inlineStr">
        <is>
          <t>D</t>
        </is>
      </c>
      <c r="J72" s="3" t="inlineStr">
        <is>
          <t>CORRECTO</t>
        </is>
      </c>
      <c r="K72" s="2" t="inlineStr">
        <is>
          <t>A</t>
        </is>
      </c>
      <c r="L72" s="4" t="inlineStr">
        <is>
          <t>INCORRECTO</t>
        </is>
      </c>
      <c r="M72" s="2" t="inlineStr">
        <is>
          <t>B</t>
        </is>
      </c>
      <c r="N72" s="4" t="inlineStr">
        <is>
          <t>INCORRECTO</t>
        </is>
      </c>
      <c r="O72" s="2" t="inlineStr">
        <is>
          <t>D</t>
        </is>
      </c>
      <c r="P72" s="4" t="inlineStr">
        <is>
          <t>INCORRECTO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D</t>
        </is>
      </c>
      <c r="T72" s="4" t="inlineStr">
        <is>
          <t>INCORRECTO</t>
        </is>
      </c>
      <c r="U72" s="2" t="inlineStr">
        <is>
          <t>C</t>
        </is>
      </c>
      <c r="V72" s="4" t="inlineStr">
        <is>
          <t>INCORRECTO</t>
        </is>
      </c>
      <c r="W72" s="2" t="inlineStr">
        <is>
          <t>D</t>
        </is>
      </c>
      <c r="X72" s="3" t="inlineStr">
        <is>
          <t>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D</t>
        </is>
      </c>
      <c r="AB72" s="4" t="inlineStr">
        <is>
          <t>INCORRECTO</t>
        </is>
      </c>
      <c r="AC72" s="2" t="inlineStr">
        <is>
          <t>D</t>
        </is>
      </c>
      <c r="AD72" s="3" t="inlineStr">
        <is>
          <t>CORRECTO</t>
        </is>
      </c>
      <c r="AE72" s="2" t="inlineStr">
        <is>
          <t>C</t>
        </is>
      </c>
      <c r="AF72" s="4" t="inlineStr">
        <is>
          <t>INCORRECTO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D</t>
        </is>
      </c>
      <c r="AJ72" s="3" t="inlineStr">
        <is>
          <t>CORRECTO</t>
        </is>
      </c>
      <c r="AK72" s="2" t="inlineStr">
        <is>
          <t>C</t>
        </is>
      </c>
      <c r="AL72" s="4" t="inlineStr">
        <is>
          <t>INCORRECTO</t>
        </is>
      </c>
      <c r="AM72" s="5">
        <f>COUNTIF(J72:AL72,"CORRECTO")</f>
        <v/>
      </c>
      <c r="AN72" s="5">
        <f>COUNTIF(J72:AL72,"INCORRECTO")</f>
        <v/>
      </c>
      <c r="AO72" s="5" t="n">
        <v>15</v>
      </c>
      <c r="AP72" s="6">
        <f>AM72/AO72</f>
        <v/>
      </c>
    </row>
    <row r="73">
      <c r="A73" s="2" t="inlineStr">
        <is>
          <t>TRATADO</t>
        </is>
      </c>
      <c r="B73" s="2" t="inlineStr">
        <is>
          <t>111001800554</t>
        </is>
      </c>
      <c r="C73" s="2" t="inlineStr">
        <is>
          <t>COLEGIO EMMA REYES (IED)</t>
        </is>
      </c>
      <c r="D73" s="2" t="inlineStr">
        <is>
          <t>LIAM THOMAS RAMIREZ CADENA</t>
        </is>
      </c>
      <c r="E73" s="2" t="inlineStr">
        <is>
          <t>1140934380</t>
        </is>
      </c>
      <c r="F73" s="2" t="n">
        <v>3</v>
      </c>
      <c r="G73" s="2" t="n">
        <v>301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A</t>
        </is>
      </c>
      <c r="AD73" s="4" t="inlineStr">
        <is>
          <t>INCORRECTO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A</t>
        </is>
      </c>
      <c r="AH73" s="3" t="inlineStr">
        <is>
          <t>CORRECTO</t>
        </is>
      </c>
      <c r="AI73" s="2" t="inlineStr">
        <is>
          <t>A</t>
        </is>
      </c>
      <c r="AJ73" s="4" t="inlineStr">
        <is>
          <t>INCORRECTO</t>
        </is>
      </c>
      <c r="AK73" s="2" t="inlineStr">
        <is>
          <t>D</t>
        </is>
      </c>
      <c r="AL73" s="4" t="inlineStr">
        <is>
          <t>INCORRECTO</t>
        </is>
      </c>
      <c r="AM73" s="5">
        <f>COUNTIF(J73:AL73,"CORRECTO")</f>
        <v/>
      </c>
      <c r="AN73" s="5">
        <f>COUNTIF(J73:AL73,"INCORRECTO")</f>
        <v/>
      </c>
      <c r="AO73" s="5" t="n">
        <v>15</v>
      </c>
      <c r="AP73" s="6">
        <f>AM73/AO73</f>
        <v/>
      </c>
    </row>
    <row r="74">
      <c r="A74" s="2" t="inlineStr">
        <is>
          <t>TRATADO</t>
        </is>
      </c>
      <c r="B74" s="2" t="inlineStr">
        <is>
          <t>111001800554</t>
        </is>
      </c>
      <c r="C74" s="2" t="inlineStr">
        <is>
          <t>COLEGIO EMMA REYES (IED)</t>
        </is>
      </c>
      <c r="D74" s="2" t="inlineStr">
        <is>
          <t>JUAN FELIPE MARTINEZ MARTINEZ</t>
        </is>
      </c>
      <c r="E74" s="2" t="inlineStr">
        <is>
          <t>1014884704</t>
        </is>
      </c>
      <c r="F74" s="2" t="n">
        <v>3</v>
      </c>
      <c r="G74" s="2" t="n">
        <v>301</v>
      </c>
      <c r="H74" s="2" t="inlineStr">
        <is>
          <t>MATEMÁTICAS</t>
        </is>
      </c>
      <c r="I74" s="2" t="inlineStr">
        <is>
          <t>D</t>
        </is>
      </c>
      <c r="J74" s="3" t="inlineStr">
        <is>
          <t>CORRECTO</t>
        </is>
      </c>
      <c r="K74" s="2" t="inlineStr">
        <is>
          <t>A</t>
        </is>
      </c>
      <c r="L74" s="4" t="inlineStr">
        <is>
          <t>INCORRECTO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C</t>
        </is>
      </c>
      <c r="V74" s="4" t="inlineStr">
        <is>
          <t>INCORRECTO</t>
        </is>
      </c>
      <c r="W74" s="2" t="inlineStr">
        <is>
          <t>A</t>
        </is>
      </c>
      <c r="X74" s="4" t="inlineStr">
        <is>
          <t>INCORRECTO</t>
        </is>
      </c>
      <c r="Y74" s="2" t="inlineStr">
        <is>
          <t>A</t>
        </is>
      </c>
      <c r="Z74" s="4" t="inlineStr">
        <is>
          <t>INCORRECTO</t>
        </is>
      </c>
      <c r="AA74" s="2" t="inlineStr">
        <is>
          <t>A</t>
        </is>
      </c>
      <c r="AB74" s="4" t="inlineStr">
        <is>
          <t>INCORRECTO</t>
        </is>
      </c>
      <c r="AC74" s="2" t="inlineStr">
        <is>
          <t>D</t>
        </is>
      </c>
      <c r="AD74" s="3" t="inlineStr">
        <is>
          <t>CORRECTO</t>
        </is>
      </c>
      <c r="AE74" s="2" t="inlineStr">
        <is>
          <t>D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D</t>
        </is>
      </c>
      <c r="AJ74" s="3" t="inlineStr">
        <is>
          <t>CORRECTO</t>
        </is>
      </c>
      <c r="AK74" s="2" t="inlineStr">
        <is>
          <t>A</t>
        </is>
      </c>
      <c r="AL74" s="3" t="inlineStr">
        <is>
          <t>CORRECTO</t>
        </is>
      </c>
      <c r="AM74" s="5">
        <f>COUNTIF(J74:AL74,"CORRECTO")</f>
        <v/>
      </c>
      <c r="AN74" s="5">
        <f>COUNTIF(J74:AL74,"INCORRECTO")</f>
        <v/>
      </c>
      <c r="AO74" s="5" t="n">
        <v>15</v>
      </c>
      <c r="AP74" s="6">
        <f>AM74/AO74</f>
        <v/>
      </c>
    </row>
    <row r="75">
      <c r="A75" s="2" t="inlineStr">
        <is>
          <t>TRATADO</t>
        </is>
      </c>
      <c r="B75" s="2" t="inlineStr">
        <is>
          <t>111001800554</t>
        </is>
      </c>
      <c r="C75" s="2" t="inlineStr">
        <is>
          <t>COLEGIO EMMA REYES (IED)</t>
        </is>
      </c>
      <c r="D75" s="2" t="inlineStr">
        <is>
          <t>JUAN FELIPE MARTINEZ MARTINEZ</t>
        </is>
      </c>
      <c r="E75" s="2" t="inlineStr">
        <is>
          <t>1014884704</t>
        </is>
      </c>
      <c r="F75" s="2" t="n">
        <v>3</v>
      </c>
      <c r="G75" s="2" t="n">
        <v>301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B</t>
        </is>
      </c>
      <c r="Z75" s="3" t="inlineStr">
        <is>
          <t>CORRECTO</t>
        </is>
      </c>
      <c r="AA75" s="2" t="inlineStr">
        <is>
          <t>C</t>
        </is>
      </c>
      <c r="AB75" s="3" t="inlineStr">
        <is>
          <t>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D</t>
        </is>
      </c>
      <c r="AF75" s="4" t="inlineStr">
        <is>
          <t>INCORRECTO</t>
        </is>
      </c>
      <c r="AG75" s="2" t="inlineStr">
        <is>
          <t>C</t>
        </is>
      </c>
      <c r="AH75" s="4" t="inlineStr">
        <is>
          <t>INCORRECTO</t>
        </is>
      </c>
      <c r="AI75" s="2" t="inlineStr">
        <is>
          <t>B</t>
        </is>
      </c>
      <c r="AJ75" s="3" t="inlineStr">
        <is>
          <t>CORRECTO</t>
        </is>
      </c>
      <c r="AK75" s="2" t="inlineStr">
        <is>
          <t>A</t>
        </is>
      </c>
      <c r="AL75" s="3" t="inlineStr">
        <is>
          <t>CORRECTO</t>
        </is>
      </c>
      <c r="AM75" s="5">
        <f>COUNTIF(J75:AL75,"CORRECTO")</f>
        <v/>
      </c>
      <c r="AN75" s="5">
        <f>COUNTIF(J75:AL75,"INCORRECTO")</f>
        <v/>
      </c>
      <c r="AO75" s="5" t="n">
        <v>15</v>
      </c>
      <c r="AP75" s="6">
        <f>AM75/AO75</f>
        <v/>
      </c>
    </row>
    <row r="76">
      <c r="A76" s="2" t="inlineStr">
        <is>
          <t>TRATADO</t>
        </is>
      </c>
      <c r="B76" s="2" t="inlineStr">
        <is>
          <t>111001800554</t>
        </is>
      </c>
      <c r="C76" s="2" t="inlineStr">
        <is>
          <t>COLEGIO EMMA REYES (IED)</t>
        </is>
      </c>
      <c r="D76" s="2" t="inlineStr">
        <is>
          <t>DAVID MATIAS REY PLAZAS</t>
        </is>
      </c>
      <c r="E76" s="2" t="inlineStr">
        <is>
          <t>1233506800</t>
        </is>
      </c>
      <c r="F76" s="2" t="n">
        <v>3</v>
      </c>
      <c r="G76" s="2" t="n">
        <v>301</v>
      </c>
      <c r="H76" s="2" t="inlineStr">
        <is>
          <t>MATEMÁTICAS</t>
        </is>
      </c>
      <c r="I76" s="2" t="inlineStr">
        <is>
          <t>D</t>
        </is>
      </c>
      <c r="J76" s="3" t="inlineStr">
        <is>
          <t>CORRECTO</t>
        </is>
      </c>
      <c r="K76" s="2" t="inlineStr">
        <is>
          <t>A</t>
        </is>
      </c>
      <c r="L76" s="4" t="inlineStr">
        <is>
          <t>INCORRECTO</t>
        </is>
      </c>
      <c r="M76" s="2" t="inlineStr">
        <is>
          <t>C</t>
        </is>
      </c>
      <c r="N76" s="3" t="inlineStr">
        <is>
          <t>CORRECTO</t>
        </is>
      </c>
      <c r="O76" s="2" t="inlineStr">
        <is>
          <t>B</t>
        </is>
      </c>
      <c r="P76" s="4" t="inlineStr">
        <is>
          <t>INCORRECTO</t>
        </is>
      </c>
      <c r="Q76" s="2" t="inlineStr">
        <is>
          <t>B</t>
        </is>
      </c>
      <c r="R76" s="3" t="inlineStr">
        <is>
          <t>CORRECTO</t>
        </is>
      </c>
      <c r="S76" s="2" t="inlineStr">
        <is>
          <t>B</t>
        </is>
      </c>
      <c r="T76" s="4" t="inlineStr">
        <is>
          <t>INCORRECTO</t>
        </is>
      </c>
      <c r="U76" s="2" t="inlineStr">
        <is>
          <t>A</t>
        </is>
      </c>
      <c r="V76" s="4" t="inlineStr">
        <is>
          <t>INCORRECTO</t>
        </is>
      </c>
      <c r="W76" s="2" t="inlineStr">
        <is>
          <t>A</t>
        </is>
      </c>
      <c r="X76" s="4" t="inlineStr">
        <is>
          <t>INCORRECTO</t>
        </is>
      </c>
      <c r="Y76" s="2" t="inlineStr">
        <is>
          <t>B</t>
        </is>
      </c>
      <c r="Z76" s="4" t="inlineStr">
        <is>
          <t>INCORRECTO</t>
        </is>
      </c>
      <c r="AA76" s="2" t="inlineStr">
        <is>
          <t>D</t>
        </is>
      </c>
      <c r="AB76" s="4" t="inlineStr">
        <is>
          <t>INCORRECTO</t>
        </is>
      </c>
      <c r="AC76" s="2" t="inlineStr">
        <is>
          <t>D</t>
        </is>
      </c>
      <c r="AD76" s="3" t="inlineStr">
        <is>
          <t>CORRECTO</t>
        </is>
      </c>
      <c r="AE76" s="2" t="inlineStr">
        <is>
          <t>D</t>
        </is>
      </c>
      <c r="AF76" s="3" t="inlineStr">
        <is>
          <t>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D</t>
        </is>
      </c>
      <c r="AJ76" s="3" t="inlineStr">
        <is>
          <t>CORRECTO</t>
        </is>
      </c>
      <c r="AK76" s="2" t="inlineStr">
        <is>
          <t>A</t>
        </is>
      </c>
      <c r="AL76" s="3" t="inlineStr">
        <is>
          <t>CORRECTO</t>
        </is>
      </c>
      <c r="AM76" s="5">
        <f>COUNTIF(J76:AL76,"CORRECTO")</f>
        <v/>
      </c>
      <c r="AN76" s="5">
        <f>COUNTIF(J76:AL76,"INCORRECTO")</f>
        <v/>
      </c>
      <c r="AO76" s="5" t="n">
        <v>15</v>
      </c>
      <c r="AP76" s="6">
        <f>AM76/AO76</f>
        <v/>
      </c>
    </row>
    <row r="77">
      <c r="A77" s="2" t="inlineStr">
        <is>
          <t>TRATADO</t>
        </is>
      </c>
      <c r="B77" s="2" t="inlineStr">
        <is>
          <t>111001800554</t>
        </is>
      </c>
      <c r="C77" s="2" t="inlineStr">
        <is>
          <t>COLEGIO EMMA REYES (IED)</t>
        </is>
      </c>
      <c r="D77" s="2" t="inlineStr">
        <is>
          <t>DAVID MATIAS REY PLAZAS</t>
        </is>
      </c>
      <c r="E77" s="2" t="inlineStr">
        <is>
          <t>1233506800</t>
        </is>
      </c>
      <c r="F77" s="2" t="n">
        <v>3</v>
      </c>
      <c r="G77" s="2" t="n">
        <v>301</v>
      </c>
      <c r="H77" s="2" t="inlineStr">
        <is>
          <t>LENGUAJE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C</t>
        </is>
      </c>
      <c r="N77" s="4" t="inlineStr">
        <is>
          <t>INCORRECTO</t>
        </is>
      </c>
      <c r="O77" s="2" t="inlineStr">
        <is>
          <t>D</t>
        </is>
      </c>
      <c r="P77" s="4" t="inlineStr">
        <is>
          <t>INCORRECTO</t>
        </is>
      </c>
      <c r="Q77" s="2" t="inlineStr">
        <is>
          <t>A</t>
        </is>
      </c>
      <c r="R77" s="4" t="inlineStr">
        <is>
          <t>INCORRECTO</t>
        </is>
      </c>
      <c r="S77" s="2" t="inlineStr">
        <is>
          <t>B</t>
        </is>
      </c>
      <c r="T77" s="3" t="inlineStr">
        <is>
          <t>CORRECTO</t>
        </is>
      </c>
      <c r="U77" s="2" t="inlineStr">
        <is>
          <t>C</t>
        </is>
      </c>
      <c r="V77" s="3" t="inlineStr">
        <is>
          <t>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A</t>
        </is>
      </c>
      <c r="Z77" s="4" t="inlineStr">
        <is>
          <t>INCORRECTO</t>
        </is>
      </c>
      <c r="AA77" s="2" t="inlineStr">
        <is>
          <t>C</t>
        </is>
      </c>
      <c r="AB77" s="3" t="inlineStr">
        <is>
          <t>CORRECTO</t>
        </is>
      </c>
      <c r="AC77" s="2" t="inlineStr"/>
      <c r="AD77" s="4" t="inlineStr">
        <is>
          <t>INCORRECTO</t>
        </is>
      </c>
      <c r="AE77" s="2" t="inlineStr">
        <is>
          <t>C</t>
        </is>
      </c>
      <c r="AF77" s="4" t="inlineStr">
        <is>
          <t>INCORRECTO</t>
        </is>
      </c>
      <c r="AG77" s="2" t="inlineStr">
        <is>
          <t>C</t>
        </is>
      </c>
      <c r="AH77" s="4" t="inlineStr">
        <is>
          <t>INCORRECTO</t>
        </is>
      </c>
      <c r="AI77" s="2" t="inlineStr">
        <is>
          <t>A</t>
        </is>
      </c>
      <c r="AJ77" s="4" t="inlineStr">
        <is>
          <t>INCORRECTO</t>
        </is>
      </c>
      <c r="AK77" s="2" t="inlineStr">
        <is>
          <t>A</t>
        </is>
      </c>
      <c r="AL77" s="3" t="inlineStr">
        <is>
          <t>CORRECTO</t>
        </is>
      </c>
      <c r="AM77" s="5">
        <f>COUNTIF(J77:AL77,"CORRECTO")</f>
        <v/>
      </c>
      <c r="AN77" s="5">
        <f>COUNTIF(J77:AL77,"INCORRECTO")</f>
        <v/>
      </c>
      <c r="AO77" s="5" t="n">
        <v>15</v>
      </c>
      <c r="AP77" s="6">
        <f>AM77/AO77</f>
        <v/>
      </c>
    </row>
    <row r="78">
      <c r="A78" s="2" t="inlineStr">
        <is>
          <t>TRATADO</t>
        </is>
      </c>
      <c r="B78" s="2" t="inlineStr">
        <is>
          <t>111001800554</t>
        </is>
      </c>
      <c r="C78" s="2" t="inlineStr">
        <is>
          <t>COLEGIO EMMA REYES (IED)</t>
        </is>
      </c>
      <c r="D78" s="2" t="inlineStr">
        <is>
          <t>DANNA SOFIA PORRAS MIRANDA</t>
        </is>
      </c>
      <c r="E78" s="2" t="inlineStr">
        <is>
          <t>1141360814</t>
        </is>
      </c>
      <c r="F78" s="2" t="n">
        <v>3</v>
      </c>
      <c r="G78" s="2" t="n">
        <v>301</v>
      </c>
      <c r="H78" s="2" t="inlineStr">
        <is>
          <t>MATEMÁTICAS</t>
        </is>
      </c>
      <c r="I78" s="2" t="inlineStr">
        <is>
          <t>D</t>
        </is>
      </c>
      <c r="J78" s="3" t="inlineStr">
        <is>
          <t>CORRECTO</t>
        </is>
      </c>
      <c r="K78" s="2" t="inlineStr">
        <is>
          <t>A</t>
        </is>
      </c>
      <c r="L78" s="4" t="inlineStr">
        <is>
          <t>INCORRECTO</t>
        </is>
      </c>
      <c r="M78" s="2" t="inlineStr">
        <is>
          <t>C</t>
        </is>
      </c>
      <c r="N78" s="3" t="inlineStr">
        <is>
          <t>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B</t>
        </is>
      </c>
      <c r="R78" s="3" t="inlineStr">
        <is>
          <t>CORRECTO</t>
        </is>
      </c>
      <c r="S78" s="2" t="inlineStr">
        <is>
          <t>D</t>
        </is>
      </c>
      <c r="T78" s="4" t="inlineStr">
        <is>
          <t>INCORRECTO</t>
        </is>
      </c>
      <c r="U78" s="2" t="inlineStr">
        <is>
          <t>D</t>
        </is>
      </c>
      <c r="V78" s="4" t="inlineStr">
        <is>
          <t>INCORRECTO</t>
        </is>
      </c>
      <c r="W78" s="2" t="inlineStr">
        <is>
          <t>D</t>
        </is>
      </c>
      <c r="X78" s="3" t="inlineStr">
        <is>
          <t>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C</t>
        </is>
      </c>
      <c r="AB78" s="3" t="inlineStr">
        <is>
          <t>CORRECTO</t>
        </is>
      </c>
      <c r="AC78" s="2" t="inlineStr">
        <is>
          <t>D</t>
        </is>
      </c>
      <c r="AD78" s="3" t="inlineStr">
        <is>
          <t>CORRECTO</t>
        </is>
      </c>
      <c r="AE78" s="2" t="inlineStr">
        <is>
          <t>C</t>
        </is>
      </c>
      <c r="AF78" s="4" t="inlineStr">
        <is>
          <t>INCORRECTO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D</t>
        </is>
      </c>
      <c r="AJ78" s="3" t="inlineStr">
        <is>
          <t>CORRECTO</t>
        </is>
      </c>
      <c r="AK78" s="2" t="inlineStr">
        <is>
          <t>C</t>
        </is>
      </c>
      <c r="AL78" s="4" t="inlineStr">
        <is>
          <t>INCORRECTO</t>
        </is>
      </c>
      <c r="AM78" s="5">
        <f>COUNTIF(J78:AL78,"CORRECTO")</f>
        <v/>
      </c>
      <c r="AN78" s="5">
        <f>COUNTIF(J78:AL78,"INCORRECTO")</f>
        <v/>
      </c>
      <c r="AO78" s="5" t="n">
        <v>15</v>
      </c>
      <c r="AP78" s="6">
        <f>AM78/AO78</f>
        <v/>
      </c>
    </row>
    <row r="79">
      <c r="A79" s="2" t="inlineStr">
        <is>
          <t>TRATADO</t>
        </is>
      </c>
      <c r="B79" s="2" t="inlineStr">
        <is>
          <t>111001800554</t>
        </is>
      </c>
      <c r="C79" s="2" t="inlineStr">
        <is>
          <t>COLEGIO EMMA REYES (IED)</t>
        </is>
      </c>
      <c r="D79" s="2" t="inlineStr">
        <is>
          <t>DANNA SOFIA PORRAS MIRANDA</t>
        </is>
      </c>
      <c r="E79" s="2" t="inlineStr">
        <is>
          <t>1141360814</t>
        </is>
      </c>
      <c r="F79" s="2" t="n">
        <v>3</v>
      </c>
      <c r="G79" s="2" t="n">
        <v>301</v>
      </c>
      <c r="H79" s="2" t="inlineStr">
        <is>
          <t>LENGUAJE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>
        <is>
          <t>C</t>
        </is>
      </c>
      <c r="R79" s="3" t="inlineStr">
        <is>
          <t>CORRECTO</t>
        </is>
      </c>
      <c r="S79" s="2" t="inlineStr">
        <is>
          <t>B</t>
        </is>
      </c>
      <c r="T79" s="3" t="inlineStr">
        <is>
          <t>CORRECTO</t>
        </is>
      </c>
      <c r="U79" s="2" t="inlineStr">
        <is>
          <t>C</t>
        </is>
      </c>
      <c r="V79" s="3" t="inlineStr">
        <is>
          <t>CORRECTO</t>
        </is>
      </c>
      <c r="W79" s="2" t="inlineStr">
        <is>
          <t>C</t>
        </is>
      </c>
      <c r="X79" s="3" t="inlineStr">
        <is>
          <t>CORRECTO</t>
        </is>
      </c>
      <c r="Y79" s="2" t="inlineStr">
        <is>
          <t>B</t>
        </is>
      </c>
      <c r="Z79" s="3" t="inlineStr">
        <is>
          <t>CORRECTO</t>
        </is>
      </c>
      <c r="AA79" s="2" t="inlineStr">
        <is>
          <t>C</t>
        </is>
      </c>
      <c r="AB79" s="3" t="inlineStr">
        <is>
          <t>CORRECTO</t>
        </is>
      </c>
      <c r="AC79" s="2" t="inlineStr">
        <is>
          <t>D</t>
        </is>
      </c>
      <c r="AD79" s="4" t="inlineStr">
        <is>
          <t>INCORRECTO</t>
        </is>
      </c>
      <c r="AE79" s="2" t="inlineStr">
        <is>
          <t>C</t>
        </is>
      </c>
      <c r="AF79" s="4" t="inlineStr">
        <is>
          <t>INCORRECTO</t>
        </is>
      </c>
      <c r="AG79" s="2" t="inlineStr">
        <is>
          <t>A</t>
        </is>
      </c>
      <c r="AH79" s="3" t="inlineStr">
        <is>
          <t>CORRECTO</t>
        </is>
      </c>
      <c r="AI79" s="2" t="inlineStr">
        <is>
          <t>B</t>
        </is>
      </c>
      <c r="AJ79" s="3" t="inlineStr">
        <is>
          <t>CORRECTO</t>
        </is>
      </c>
      <c r="AK79" s="2" t="inlineStr">
        <is>
          <t>D</t>
        </is>
      </c>
      <c r="AL79" s="4" t="inlineStr">
        <is>
          <t>INCORRECTO</t>
        </is>
      </c>
      <c r="AM79" s="5">
        <f>COUNTIF(J79:AL79,"CORRECTO")</f>
        <v/>
      </c>
      <c r="AN79" s="5">
        <f>COUNTIF(J79:AL79,"INCORRECTO")</f>
        <v/>
      </c>
      <c r="AO79" s="5" t="n">
        <v>15</v>
      </c>
      <c r="AP79" s="6">
        <f>AM79/AO79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2026-06-25T17:12:20Z</dcterms:created>
  <dcterms:modified xmlns:dcterms="http://purl.org/dc/terms/" xmlns:xsi="http://www.w3.org/2001/XMLSchema-instance" xsi:type="dcterms:W3CDTF">2026-06-25T17:12:20Z</dcterms:modified>
</cp:coreProperties>
</file>