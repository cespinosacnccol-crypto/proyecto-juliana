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MAIKOL SEBASTIAN CASTRO VELASQUEZ</t>
        </is>
      </c>
      <c r="E24" s="2" t="inlineStr">
        <is>
          <t>1027526800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COUNTIF(J25:AV25,"CORRECTO")</f>
        <v/>
      </c>
      <c r="AX24" s="5">
        <f>COUNTIF(J25:AV25,"INCORRECTO")</f>
        <v/>
      </c>
      <c r="AY24" s="5" t="n">
        <v>20</v>
      </c>
      <c r="AZ24" s="6">
        <f>AW25/AY25</f>
        <v/>
      </c>
    </row>
    <row r="25">
      <c r="A25" s="2" t="inlineStr"/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MARIA FERNANDA VEGA LUGO</t>
        </is>
      </c>
      <c r="E25" s="2" t="inlineStr">
        <is>
          <t>1031134603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COUNTIF(J26:AV26,"CORRECTO")</f>
        <v/>
      </c>
      <c r="AX25" s="5">
        <f>COUNTIF(J26:AV26,"INCORRECTO")</f>
        <v/>
      </c>
      <c r="AY25" s="5" t="n">
        <v>20</v>
      </c>
      <c r="AZ25" s="6">
        <f>AW26/AY26</f>
        <v/>
      </c>
    </row>
    <row r="26">
      <c r="A26" s="2" t="inlineStr"/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MICHEL CONTRERAS RENDON</t>
        </is>
      </c>
      <c r="E26" s="2" t="inlineStr">
        <is>
          <t>1033728604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COUNTIF(J27:AV27,"CORRECTO")</f>
        <v/>
      </c>
      <c r="AX26" s="5">
        <f>COUNTIF(J27:AV27,"INCORRECTO")</f>
        <v/>
      </c>
      <c r="AY26" s="5" t="n">
        <v>20</v>
      </c>
      <c r="AZ26" s="6">
        <f>AW27/AY27</f>
        <v/>
      </c>
    </row>
    <row r="27">
      <c r="A27" s="2" t="inlineStr"/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MIGUEL ANGEL FAJARDO LOAIZA</t>
        </is>
      </c>
      <c r="E27" s="2" t="inlineStr">
        <is>
          <t>1025541524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COUNTIF(J28:AV28,"CORRECTO")</f>
        <v/>
      </c>
      <c r="AX27" s="5">
        <f>COUNTIF(J28:AV28,"INCORRECTO")</f>
        <v/>
      </c>
      <c r="AY27" s="5" t="n">
        <v>20</v>
      </c>
      <c r="AZ27" s="6">
        <f>AW28/AY28</f>
        <v/>
      </c>
    </row>
    <row r="28">
      <c r="A28" s="2" t="inlineStr"/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NIXON ADRIAN SANCHEZ MIGUEZ</t>
        </is>
      </c>
      <c r="E28" s="2" t="inlineStr">
        <is>
          <t>1146884131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COUNTIF(J29:AV29,"CORRECTO")</f>
        <v/>
      </c>
      <c r="AX28" s="5">
        <f>COUNTIF(J29:AV29,"INCORRECTO")</f>
        <v/>
      </c>
      <c r="AY28" s="5" t="n">
        <v>20</v>
      </c>
      <c r="AZ28" s="6">
        <f>AW29/AY29</f>
        <v/>
      </c>
    </row>
    <row r="29">
      <c r="A29" s="2" t="inlineStr"/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 JULIANY MURILLO VALDES</t>
        </is>
      </c>
      <c r="E29" s="2" t="inlineStr">
        <is>
          <t>1028868292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COUNTIF(J30:AV30,"CORRECTO")</f>
        <v/>
      </c>
      <c r="AX29" s="5">
        <f>COUNTIF(J30:AV30,"INCORRECTO")</f>
        <v/>
      </c>
      <c r="AY29" s="5" t="n">
        <v>20</v>
      </c>
      <c r="AZ29" s="6">
        <f>AW30/AY30</f>
        <v/>
      </c>
    </row>
    <row r="30">
      <c r="A30" s="2" t="inlineStr"/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SEBASTIAN DAVID RUIZ RODRIGUEZ</t>
        </is>
      </c>
      <c r="E30" s="2" t="inlineStr">
        <is>
          <t>1011104268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COUNTIF(J31:AV31,"CORRECTO")</f>
        <v/>
      </c>
      <c r="AX30" s="5">
        <f>COUNTIF(J31:AV31,"INCORRECTO")</f>
        <v/>
      </c>
      <c r="AY30" s="5" t="n">
        <v>20</v>
      </c>
      <c r="AZ30" s="6">
        <f>AW31/AY31</f>
        <v/>
      </c>
    </row>
    <row r="31">
      <c r="A31" s="2" t="inlineStr"/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YUIBARI MATIAS TANDIOY CHASOY</t>
        </is>
      </c>
      <c r="E31" s="2" t="inlineStr">
        <is>
          <t>1016718403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COUNTIF(J32:AV32,"CORRECTO")</f>
        <v/>
      </c>
      <c r="AX31" s="5">
        <f>COUNTIF(J32:AV32,"INCORRECTO")</f>
        <v/>
      </c>
      <c r="AY31" s="5" t="n">
        <v>20</v>
      </c>
      <c r="AZ31" s="6">
        <f>AW32/AY32</f>
        <v/>
      </c>
    </row>
    <row r="32">
      <c r="A32" s="2" t="inlineStr"/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ZARA JIRETH GRISALES PEREZ</t>
        </is>
      </c>
      <c r="E32" s="2" t="inlineStr">
        <is>
          <t>1011324941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COUNTIF(J33:AV33,"CORRECTO")</f>
        <v/>
      </c>
      <c r="AX32" s="5">
        <f>COUNTIF(J33:AV33,"INCORRECTO")</f>
        <v/>
      </c>
      <c r="AY32" s="5" t="n">
        <v>20</v>
      </c>
      <c r="AZ32" s="6">
        <f>AW33/AY33</f>
        <v/>
      </c>
    </row>
    <row r="33">
      <c r="A33" s="2" t="inlineStr"/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ALISSON REYES IBARRA</t>
        </is>
      </c>
      <c r="E33" s="2" t="inlineStr">
        <is>
          <t>1023384160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COUNTIF(J34:AV34,"CORRECTO")</f>
        <v/>
      </c>
      <c r="AX33" s="5">
        <f>COUNTIF(J34:AV34,"INCORRECTO")</f>
        <v/>
      </c>
      <c r="AY33" s="5" t="n">
        <v>20</v>
      </c>
      <c r="AZ33" s="6">
        <f>AW34/AY34</f>
        <v/>
      </c>
    </row>
    <row r="34">
      <c r="A34" s="2" t="inlineStr"/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ANGEL DANIEL RAMIREZ VENTO</t>
        </is>
      </c>
      <c r="E34" s="2" t="inlineStr">
        <is>
          <t>1025325941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COUNTIF(J35:AV35,"CORRECTO")</f>
        <v/>
      </c>
      <c r="AX34" s="5">
        <f>COUNTIF(J35:AV35,"INCORRECTO")</f>
        <v/>
      </c>
      <c r="AY34" s="5" t="n">
        <v>20</v>
      </c>
      <c r="AZ34" s="6">
        <f>AW35/AY35</f>
        <v/>
      </c>
    </row>
    <row r="35">
      <c r="A35" s="2" t="inlineStr"/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ANGIE CATALINA PERDOMO MORENO</t>
        </is>
      </c>
      <c r="E35" s="2" t="inlineStr">
        <is>
          <t>1033734882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COUNTIF(J36:AV36,"CORRECTO")</f>
        <v/>
      </c>
      <c r="AX35" s="5">
        <f>COUNTIF(J36:AV36,"INCORRECTO")</f>
        <v/>
      </c>
      <c r="AY35" s="5" t="n">
        <v>20</v>
      </c>
      <c r="AZ35" s="6">
        <f>AW36/AY36</f>
        <v/>
      </c>
    </row>
    <row r="36">
      <c r="A36" s="2" t="inlineStr"/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ANTHONY JAVIER RODRIGUEZ SIERRA</t>
        </is>
      </c>
      <c r="E36" s="2" t="inlineStr">
        <is>
          <t>1029284078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COUNTIF(J37:AV37,"CORRECTO")</f>
        <v/>
      </c>
      <c r="AX36" s="5">
        <f>COUNTIF(J37:AV37,"INCORRECTO")</f>
        <v/>
      </c>
      <c r="AY36" s="5" t="n">
        <v>20</v>
      </c>
      <c r="AZ36" s="6">
        <f>AW37/AY37</f>
        <v/>
      </c>
    </row>
    <row r="37">
      <c r="A37" s="2" t="inlineStr"/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CAROL DAYANA MORERA VELANDIA</t>
        </is>
      </c>
      <c r="E37" s="2" t="inlineStr">
        <is>
          <t>1032680642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/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COUNTIF(J38:AV38,"CORRECTO")</f>
        <v/>
      </c>
      <c r="AX37" s="5">
        <f>COUNTIF(J38:AV38,"INCORRECTO")</f>
        <v/>
      </c>
      <c r="AY37" s="5" t="n">
        <v>20</v>
      </c>
      <c r="AZ37" s="6">
        <f>AW38/AY38</f>
        <v/>
      </c>
    </row>
    <row r="38">
      <c r="A38" s="2" t="inlineStr"/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DANNA VALENTINA RAMIREZ CASAS</t>
        </is>
      </c>
      <c r="E38" s="2" t="inlineStr">
        <is>
          <t>1029282437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COUNTIF(J39:AV39,"CORRECTO")</f>
        <v/>
      </c>
      <c r="AX38" s="5">
        <f>COUNTIF(J39:AV39,"INCORRECTO")</f>
        <v/>
      </c>
      <c r="AY38" s="5" t="n">
        <v>20</v>
      </c>
      <c r="AZ38" s="6">
        <f>AW39/AY39</f>
        <v/>
      </c>
    </row>
    <row r="39">
      <c r="A39" s="2" t="inlineStr"/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DAVID LEONARDO CARDENAS POLOCHE</t>
        </is>
      </c>
      <c r="E39" s="2" t="inlineStr">
        <is>
          <t>1011104165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/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COUNTIF(J40:AV40,"CORRECTO")</f>
        <v/>
      </c>
      <c r="AX39" s="5">
        <f>COUNTIF(J40:AV40,"INCORRECTO")</f>
        <v/>
      </c>
      <c r="AY39" s="5" t="n">
        <v>20</v>
      </c>
      <c r="AZ39" s="6">
        <f>AW40/AY40</f>
        <v/>
      </c>
    </row>
    <row r="40">
      <c r="A40" s="2" t="inlineStr"/>
      <c r="B40" s="2" t="inlineStr">
        <is>
          <t>111001100013</t>
        </is>
      </c>
      <c r="C40" s="2" t="inlineStr">
        <is>
          <t>COLEGIO BUENAVISTA (IED) - SEDE PRINCIPAL</t>
        </is>
      </c>
      <c r="D40" s="2" t="inlineStr">
        <is>
          <t>DAVID SANTIAGO OLMOS RODRIGUEZ</t>
        </is>
      </c>
      <c r="E40" s="2" t="inlineStr">
        <is>
          <t>1012920785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COUNTIF(J41:AV41,"CORRECTO")</f>
        <v/>
      </c>
      <c r="AX40" s="5">
        <f>COUNTIF(J41:AV41,"INCORRECTO")</f>
        <v/>
      </c>
      <c r="AY40" s="5" t="n">
        <v>20</v>
      </c>
      <c r="AZ40" s="6">
        <f>AW41/AY41</f>
        <v/>
      </c>
    </row>
    <row r="41">
      <c r="A41" s="2" t="inlineStr"/>
      <c r="B41" s="2" t="inlineStr">
        <is>
          <t>111001100013</t>
        </is>
      </c>
      <c r="C41" s="2" t="inlineStr">
        <is>
          <t>COLEGIO BUENAVISTA (IED) - SEDE PRINCIPAL</t>
        </is>
      </c>
      <c r="D41" s="2" t="inlineStr">
        <is>
          <t>EDISON FABIAN GARCIA BERNAL</t>
        </is>
      </c>
      <c r="E41" s="2" t="inlineStr">
        <is>
          <t>1028867580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D</t>
        </is>
      </c>
      <c r="AD41" s="3" t="inlineStr">
        <is>
          <t>INCORRECTO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COUNTIF(J42:AV42,"CORRECTO")</f>
        <v/>
      </c>
      <c r="AX41" s="5">
        <f>COUNTIF(J42:AV42,"INCORRECTO")</f>
        <v/>
      </c>
      <c r="AY41" s="5" t="n">
        <v>20</v>
      </c>
      <c r="AZ41" s="6">
        <f>AW42/AY42</f>
        <v/>
      </c>
    </row>
    <row r="42">
      <c r="A42" s="2" t="inlineStr"/>
      <c r="B42" s="2" t="inlineStr">
        <is>
          <t>111001100013</t>
        </is>
      </c>
      <c r="C42" s="2" t="inlineStr">
        <is>
          <t>COLEGIO BUENAVISTA (IED) - SEDE PRINCIPAL</t>
        </is>
      </c>
      <c r="D42" s="2" t="inlineStr">
        <is>
          <t>ELKIN MATEO ROZO RODRÍGUEZ</t>
        </is>
      </c>
      <c r="E42" s="2" t="inlineStr">
        <is>
          <t>1019765693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D</t>
        </is>
      </c>
      <c r="AT42" s="4" t="inlineStr">
        <is>
          <t>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COUNTIF(J43:AV43,"CORRECTO")</f>
        <v/>
      </c>
      <c r="AX42" s="5">
        <f>COUNTIF(J43:AV43,"INCORRECTO")</f>
        <v/>
      </c>
      <c r="AY42" s="5" t="n">
        <v>20</v>
      </c>
      <c r="AZ42" s="6">
        <f>AW43/AY43</f>
        <v/>
      </c>
    </row>
    <row r="43">
      <c r="A43" s="2" t="inlineStr"/>
      <c r="B43" s="2" t="inlineStr">
        <is>
          <t>111001100013</t>
        </is>
      </c>
      <c r="C43" s="2" t="inlineStr">
        <is>
          <t>COLEGIO BUENAVISTA (IED) - SEDE PRINCIPAL</t>
        </is>
      </c>
      <c r="D43" s="2" t="inlineStr">
        <is>
          <t>EMILY JULIANA IBAÑEZ MONTOYA</t>
        </is>
      </c>
      <c r="E43" s="2" t="inlineStr">
        <is>
          <t>1034402231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COUNTIF(J44:AV44,"CORRECTO")</f>
        <v/>
      </c>
      <c r="AX43" s="5">
        <f>COUNTIF(J44:AV44,"INCORRECTO")</f>
        <v/>
      </c>
      <c r="AY43" s="5" t="n">
        <v>20</v>
      </c>
      <c r="AZ43" s="6">
        <f>AW44/AY44</f>
        <v/>
      </c>
    </row>
    <row r="44">
      <c r="A44" s="2" t="inlineStr"/>
      <c r="B44" s="2" t="inlineStr">
        <is>
          <t>111001100013</t>
        </is>
      </c>
      <c r="C44" s="2" t="inlineStr">
        <is>
          <t>COLEGIO BUENAVISTA (IED) - SEDE PRINCIPAL</t>
        </is>
      </c>
      <c r="D44" s="2" t="inlineStr">
        <is>
          <t>ESTEBAN ALEJANDRO ALBA LINAREZ</t>
        </is>
      </c>
      <c r="E44" s="2" t="inlineStr">
        <is>
          <t>1028868450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COUNTIF(J45:AV45,"CORRECTO")</f>
        <v/>
      </c>
      <c r="AX44" s="5">
        <f>COUNTIF(J45:AV45,"INCORRECTO")</f>
        <v/>
      </c>
      <c r="AY44" s="5" t="n">
        <v>20</v>
      </c>
      <c r="AZ44" s="6">
        <f>AW45/AY45</f>
        <v/>
      </c>
    </row>
    <row r="45">
      <c r="A45" s="2" t="inlineStr"/>
      <c r="B45" s="2" t="inlineStr">
        <is>
          <t>111001100013</t>
        </is>
      </c>
      <c r="C45" s="2" t="inlineStr">
        <is>
          <t>COLEGIO BUENAVISTA (IED) - SEDE PRINCIPAL</t>
        </is>
      </c>
      <c r="D45" s="2" t="inlineStr">
        <is>
          <t>GELEN ESTEFANIA BOHORQUEZ PUENTES</t>
        </is>
      </c>
      <c r="E45" s="2" t="inlineStr">
        <is>
          <t>1023899067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D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4" t="inlineStr">
        <is>
          <t>CORRECTO</t>
        </is>
      </c>
      <c r="AW45" s="5">
        <f>COUNTIF(J46:AV46,"CORRECTO")</f>
        <v/>
      </c>
      <c r="AX45" s="5">
        <f>COUNTIF(J46:AV46,"INCORRECTO")</f>
        <v/>
      </c>
      <c r="AY45" s="5" t="n">
        <v>20</v>
      </c>
      <c r="AZ45" s="6">
        <f>AW46/AY46</f>
        <v/>
      </c>
    </row>
    <row r="46">
      <c r="A46" s="2" t="inlineStr"/>
      <c r="B46" s="2" t="inlineStr">
        <is>
          <t>111001100013</t>
        </is>
      </c>
      <c r="C46" s="2" t="inlineStr">
        <is>
          <t>COLEGIO BUENAVISTA (IED) - SEDE PRINCIPAL</t>
        </is>
      </c>
      <c r="D46" s="2" t="inlineStr">
        <is>
          <t>HEIDY SARAHI AVILA SALAZAR</t>
        </is>
      </c>
      <c r="E46" s="2" t="inlineStr">
        <is>
          <t>1033716721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COUNTIF(J47:AV47,"CORRECTO")</f>
        <v/>
      </c>
      <c r="AX46" s="5">
        <f>COUNTIF(J47:AV47,"INCORRECTO")</f>
        <v/>
      </c>
      <c r="AY46" s="5" t="n">
        <v>20</v>
      </c>
      <c r="AZ46" s="6">
        <f>AW47/AY47</f>
        <v/>
      </c>
    </row>
    <row r="47">
      <c r="A47" s="2" t="inlineStr"/>
      <c r="B47" s="2" t="inlineStr">
        <is>
          <t>111001100013</t>
        </is>
      </c>
      <c r="C47" s="2" t="inlineStr">
        <is>
          <t>COLEGIO BUENAVISTA (IED) - SEDE PRINCIPAL</t>
        </is>
      </c>
      <c r="D47" s="2" t="inlineStr">
        <is>
          <t>JIRETH SOFIA GALVIS RUGELES</t>
        </is>
      </c>
      <c r="E47" s="2" t="inlineStr">
        <is>
          <t>1025541773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4" t="inlineStr">
        <is>
          <t>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4" t="inlineStr">
        <is>
          <t>CORRECTO</t>
        </is>
      </c>
      <c r="AU47" s="2" t="inlineStr">
        <is>
          <t>C</t>
        </is>
      </c>
      <c r="AV47" s="3" t="inlineStr">
        <is>
          <t>INCORRECTO</t>
        </is>
      </c>
      <c r="AW47" s="5">
        <f>COUNTIF(J48:AV48,"CORRECTO")</f>
        <v/>
      </c>
      <c r="AX47" s="5">
        <f>COUNTIF(J48:AV48,"INCORRECTO")</f>
        <v/>
      </c>
      <c r="AY47" s="5" t="n">
        <v>20</v>
      </c>
      <c r="AZ47" s="6">
        <f>AW48/AY48</f>
        <v/>
      </c>
    </row>
    <row r="48">
      <c r="A48" s="2" t="inlineStr"/>
      <c r="B48" s="2" t="inlineStr">
        <is>
          <t>111001100013</t>
        </is>
      </c>
      <c r="C48" s="2" t="inlineStr">
        <is>
          <t>COLEGIO BUENAVISTA (IED) - SEDE PRINCIPAL</t>
        </is>
      </c>
      <c r="D48" s="2" t="inlineStr">
        <is>
          <t>JOEL SEBASTIAN PUENTES MURCIA</t>
        </is>
      </c>
      <c r="E48" s="2" t="inlineStr">
        <is>
          <t>1013129719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4" t="inlineStr">
        <is>
          <t>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COUNTIF(J49:AV49,"CORRECTO")</f>
        <v/>
      </c>
      <c r="AX48" s="5">
        <f>COUNTIF(J49:AV49,"INCORRECTO")</f>
        <v/>
      </c>
      <c r="AY48" s="5" t="n">
        <v>20</v>
      </c>
      <c r="AZ48" s="6">
        <f>AW49/AY49</f>
        <v/>
      </c>
    </row>
    <row r="49">
      <c r="A49" s="2" t="inlineStr"/>
      <c r="B49" s="2" t="inlineStr">
        <is>
          <t>111001100013</t>
        </is>
      </c>
      <c r="C49" s="2" t="inlineStr">
        <is>
          <t>COLEGIO BUENAVISTA (IED) - SEDE PRINCIPAL</t>
        </is>
      </c>
      <c r="D49" s="2" t="inlineStr">
        <is>
          <t>JOSTIN DANNIEL PRIETO CERON</t>
        </is>
      </c>
      <c r="E49" s="2" t="inlineStr">
        <is>
          <t>1034665336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COUNTIF(J50:AV50,"CORRECTO")</f>
        <v/>
      </c>
      <c r="AX49" s="5">
        <f>COUNTIF(J50:AV50,"INCORRECTO")</f>
        <v/>
      </c>
      <c r="AY49" s="5" t="n">
        <v>20</v>
      </c>
      <c r="AZ49" s="6">
        <f>AW50/AY50</f>
        <v/>
      </c>
    </row>
    <row r="50">
      <c r="A50" s="2" t="inlineStr"/>
      <c r="B50" s="2" t="inlineStr">
        <is>
          <t>111001100013</t>
        </is>
      </c>
      <c r="C50" s="2" t="inlineStr">
        <is>
          <t>COLEGIO BUENAVISTA (IED) - SEDE PRINCIPAL</t>
        </is>
      </c>
      <c r="D50" s="2" t="inlineStr">
        <is>
          <t>JUAN CAMILO CASTRO MATEUS</t>
        </is>
      </c>
      <c r="E50" s="2" t="inlineStr">
        <is>
          <t>1033723727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D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COUNTIF(J51:AV51,"CORRECTO")</f>
        <v/>
      </c>
      <c r="AX50" s="5">
        <f>COUNTIF(J51:AV51,"INCORRECTO")</f>
        <v/>
      </c>
      <c r="AY50" s="5" t="n">
        <v>20</v>
      </c>
      <c r="AZ50" s="6">
        <f>AW51/AY51</f>
        <v/>
      </c>
    </row>
    <row r="51">
      <c r="A51" s="2" t="inlineStr"/>
      <c r="B51" s="2" t="inlineStr">
        <is>
          <t>111001100013</t>
        </is>
      </c>
      <c r="C51" s="2" t="inlineStr">
        <is>
          <t>COLEGIO BUENAVISTA (IED) - SEDE PRINCIPAL</t>
        </is>
      </c>
      <c r="D51" s="2" t="inlineStr">
        <is>
          <t>JUAN DAVID GUATIVA PARRA</t>
        </is>
      </c>
      <c r="E51" s="2" t="inlineStr">
        <is>
          <t>1076242863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D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D</t>
        </is>
      </c>
      <c r="AT51" s="4" t="inlineStr">
        <is>
          <t>CORRECTO</t>
        </is>
      </c>
      <c r="AU51" s="2" t="inlineStr">
        <is>
          <t>C</t>
        </is>
      </c>
      <c r="AV51" s="3" t="inlineStr">
        <is>
          <t>INCORRECTO</t>
        </is>
      </c>
      <c r="AW51" s="5">
        <f>COUNTIF(J52:AV52,"CORRECTO")</f>
        <v/>
      </c>
      <c r="AX51" s="5">
        <f>COUNTIF(J52:AV52,"INCORRECTO")</f>
        <v/>
      </c>
      <c r="AY51" s="5" t="n">
        <v>20</v>
      </c>
      <c r="AZ51" s="6">
        <f>AW52/AY52</f>
        <v/>
      </c>
    </row>
    <row r="52">
      <c r="A52" s="2" t="inlineStr"/>
      <c r="B52" s="2" t="inlineStr">
        <is>
          <t>111001100013</t>
        </is>
      </c>
      <c r="C52" s="2" t="inlineStr">
        <is>
          <t>COLEGIO BUENAVISTA (IED) - SEDE PRINCIPAL</t>
        </is>
      </c>
      <c r="D52" s="2" t="inlineStr">
        <is>
          <t>KAREN JULIETH MENDOZA FRANCO</t>
        </is>
      </c>
      <c r="E52" s="2" t="inlineStr">
        <is>
          <t>1027527826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D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D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B</t>
        </is>
      </c>
      <c r="AV52" s="4" t="inlineStr">
        <is>
          <t>CORRECTO</t>
        </is>
      </c>
      <c r="AW52" s="5">
        <f>COUNTIF(J53:AV53,"CORRECTO")</f>
        <v/>
      </c>
      <c r="AX52" s="5">
        <f>COUNTIF(J53:AV53,"INCORRECTO")</f>
        <v/>
      </c>
      <c r="AY52" s="5" t="n">
        <v>20</v>
      </c>
      <c r="AZ52" s="6">
        <f>AW53/AY53</f>
        <v/>
      </c>
    </row>
    <row r="53">
      <c r="A53" s="2" t="inlineStr"/>
      <c r="B53" s="2" t="inlineStr">
        <is>
          <t>111001100013</t>
        </is>
      </c>
      <c r="C53" s="2" t="inlineStr">
        <is>
          <t>COLEGIO BUENAVISTA (IED) - SEDE PRINCIPAL</t>
        </is>
      </c>
      <c r="D53" s="2" t="inlineStr">
        <is>
          <t>KEVIN ALEXANDER VILLAMIL TRILLOS</t>
        </is>
      </c>
      <c r="E53" s="2" t="inlineStr">
        <is>
          <t>1023912049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C</t>
        </is>
      </c>
      <c r="AV53" s="3" t="inlineStr">
        <is>
          <t>INCORRECTO</t>
        </is>
      </c>
      <c r="AW53" s="5">
        <f>COUNTIF(J54:AV54,"CORRECTO")</f>
        <v/>
      </c>
      <c r="AX53" s="5">
        <f>COUNTIF(J54:AV54,"INCORRECTO")</f>
        <v/>
      </c>
      <c r="AY53" s="5" t="n">
        <v>20</v>
      </c>
      <c r="AZ53" s="6">
        <f>AW54/AY54</f>
        <v/>
      </c>
    </row>
    <row r="54">
      <c r="A54" s="2" t="inlineStr"/>
      <c r="B54" s="2" t="inlineStr">
        <is>
          <t>111001100013</t>
        </is>
      </c>
      <c r="C54" s="2" t="inlineStr">
        <is>
          <t>COLEGIO BUENAVISTA (IED) - SEDE PRINCIPAL</t>
        </is>
      </c>
      <c r="D54" s="2" t="inlineStr">
        <is>
          <t>LEIDY JIMENA GUTIERREZ MATEUS</t>
        </is>
      </c>
      <c r="E54" s="2" t="inlineStr">
        <is>
          <t>1031541715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4" t="inlineStr">
        <is>
          <t>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COUNTIF(J55:AV55,"CORRECTO")</f>
        <v/>
      </c>
      <c r="AX54" s="5">
        <f>COUNTIF(J55:AV55,"INCORRECTO")</f>
        <v/>
      </c>
      <c r="AY54" s="5" t="n">
        <v>20</v>
      </c>
      <c r="AZ54" s="6">
        <f>AW55/AY55</f>
        <v/>
      </c>
    </row>
    <row r="55">
      <c r="A55" s="2" t="inlineStr"/>
      <c r="B55" s="2" t="inlineStr">
        <is>
          <t>111001100013</t>
        </is>
      </c>
      <c r="C55" s="2" t="inlineStr">
        <is>
          <t>COLEGIO BUENAVISTA (IED) - SEDE PRINCIPAL</t>
        </is>
      </c>
      <c r="D55" s="2" t="inlineStr">
        <is>
          <t>MAIKOL SEBASTIAN CASTRO VELASQUEZ</t>
        </is>
      </c>
      <c r="E55" s="2" t="inlineStr">
        <is>
          <t>1027526800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COUNTIF(J57:AV57,"CORRECTO")</f>
        <v/>
      </c>
      <c r="AX55" s="5">
        <f>COUNTIF(J57:AV57,"INCORRECTO")</f>
        <v/>
      </c>
      <c r="AY55" s="5" t="n">
        <v>20</v>
      </c>
      <c r="AZ55" s="6">
        <f>AW57/AY57</f>
        <v/>
      </c>
    </row>
    <row r="56">
      <c r="A56" s="2" t="inlineStr"/>
      <c r="B56" s="2" t="inlineStr">
        <is>
          <t>111001100013</t>
        </is>
      </c>
      <c r="C56" s="2" t="inlineStr">
        <is>
          <t>COLEGIO BUENAVISTA (IED) - SEDE PRINCIPAL</t>
        </is>
      </c>
      <c r="D56" s="2" t="inlineStr">
        <is>
          <t>MARIA FERNANDA VEGA LUGO</t>
        </is>
      </c>
      <c r="E56" s="2" t="inlineStr">
        <is>
          <t>1031134603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C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COUNTIF(J58:AV58,"CORRECTO")</f>
        <v/>
      </c>
      <c r="AX56" s="5">
        <f>COUNTIF(J58:AV58,"INCORRECTO")</f>
        <v/>
      </c>
      <c r="AY56" s="5" t="n">
        <v>20</v>
      </c>
      <c r="AZ56" s="6">
        <f>AW58/AY58</f>
        <v/>
      </c>
    </row>
    <row r="57">
      <c r="A57" s="2" t="inlineStr"/>
      <c r="B57" s="2" t="inlineStr">
        <is>
          <t>111001100013</t>
        </is>
      </c>
      <c r="C57" s="2" t="inlineStr">
        <is>
          <t>COLEGIO BUENAVISTA (IED) - SEDE PRINCIPAL</t>
        </is>
      </c>
      <c r="D57" s="2" t="inlineStr">
        <is>
          <t>MICHEL CONTRERAS RENDON</t>
        </is>
      </c>
      <c r="E57" s="2" t="inlineStr">
        <is>
          <t>1033728604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D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D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COUNTIF(J59:AV59,"CORRECTO")</f>
        <v/>
      </c>
      <c r="AX57" s="5">
        <f>COUNTIF(J59:AV59,"INCORRECTO")</f>
        <v/>
      </c>
      <c r="AY57" s="5" t="n">
        <v>20</v>
      </c>
      <c r="AZ57" s="6">
        <f>AW59/AY59</f>
        <v/>
      </c>
    </row>
    <row r="58">
      <c r="A58" s="2" t="inlineStr"/>
      <c r="B58" s="2" t="inlineStr">
        <is>
          <t>111001100013</t>
        </is>
      </c>
      <c r="C58" s="2" t="inlineStr">
        <is>
          <t>COLEGIO BUENAVISTA (IED) - SEDE PRINCIPAL</t>
        </is>
      </c>
      <c r="D58" s="2" t="inlineStr">
        <is>
          <t>MIGUEL ANGEL FAJARDO LOAIZA</t>
        </is>
      </c>
      <c r="E58" s="2" t="inlineStr">
        <is>
          <t>1025541524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COUNTIF(J60:AV60,"CORRECTO")</f>
        <v/>
      </c>
      <c r="AX58" s="5">
        <f>COUNTIF(J60:AV60,"INCORRECTO")</f>
        <v/>
      </c>
      <c r="AY58" s="5" t="n">
        <v>20</v>
      </c>
      <c r="AZ58" s="6">
        <f>AW60/AY60</f>
        <v/>
      </c>
    </row>
    <row r="59">
      <c r="A59" s="2" t="inlineStr"/>
      <c r="B59" s="2" t="inlineStr">
        <is>
          <t>111001100013</t>
        </is>
      </c>
      <c r="C59" s="2" t="inlineStr">
        <is>
          <t>COLEGIO BUENAVISTA (IED) - SEDE PRINCIPAL</t>
        </is>
      </c>
      <c r="D59" s="2" t="inlineStr">
        <is>
          <t>NIXON ADRIAN SANCHEZ MIGUEZ</t>
        </is>
      </c>
      <c r="E59" s="2" t="inlineStr">
        <is>
          <t>1146884131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COUNTIF(J61:AV61,"CORRECTO")</f>
        <v/>
      </c>
      <c r="AX59" s="5">
        <f>COUNTIF(J61:AV61,"INCORRECTO")</f>
        <v/>
      </c>
      <c r="AY59" s="5" t="n">
        <v>20</v>
      </c>
      <c r="AZ59" s="6">
        <f>AW61/AY61</f>
        <v/>
      </c>
    </row>
    <row r="60">
      <c r="A60" s="2" t="inlineStr"/>
      <c r="B60" s="2" t="inlineStr">
        <is>
          <t>111001100013</t>
        </is>
      </c>
      <c r="C60" s="2" t="inlineStr">
        <is>
          <t>COLEGIO BUENAVISTA (IED) - SEDE PRINCIPAL</t>
        </is>
      </c>
      <c r="D60" s="2" t="inlineStr">
        <is>
          <t>SARA JULIANY MURILLO VALDES</t>
        </is>
      </c>
      <c r="E60" s="2" t="inlineStr">
        <is>
          <t>1028868292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/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D</t>
        </is>
      </c>
      <c r="AH60" s="4" t="inlineStr">
        <is>
          <t>CORRECTO</t>
        </is>
      </c>
      <c r="AI60" s="2" t="inlineStr">
        <is>
          <t>C</t>
        </is>
      </c>
      <c r="AJ60" s="3" t="inlineStr">
        <is>
          <t>INCORRECTO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D</t>
        </is>
      </c>
      <c r="AT60" s="4" t="inlineStr">
        <is>
          <t>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COUNTIF(J62:AV62,"CORRECTO")</f>
        <v/>
      </c>
      <c r="AX60" s="5">
        <f>COUNTIF(J62:AV62,"INCORRECTO")</f>
        <v/>
      </c>
      <c r="AY60" s="5" t="n">
        <v>20</v>
      </c>
      <c r="AZ60" s="6">
        <f>AW62/AY62</f>
        <v/>
      </c>
    </row>
    <row r="61">
      <c r="A61" s="2" t="inlineStr"/>
      <c r="B61" s="2" t="inlineStr">
        <is>
          <t>111001100013</t>
        </is>
      </c>
      <c r="C61" s="2" t="inlineStr">
        <is>
          <t>COLEGIO BUENAVISTA (IED) - SEDE PRINCIPAL</t>
        </is>
      </c>
      <c r="D61" s="2" t="inlineStr">
        <is>
          <t>SEBASTIAN DAVID RUIZ RODRIGUEZ</t>
        </is>
      </c>
      <c r="E61" s="2" t="inlineStr">
        <is>
          <t>1011104268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COUNTIF(J63:AV63,"CORRECTO")</f>
        <v/>
      </c>
      <c r="AX61" s="5">
        <f>COUNTIF(J63:AV63,"INCORRECTO")</f>
        <v/>
      </c>
      <c r="AY61" s="5" t="n">
        <v>20</v>
      </c>
      <c r="AZ61" s="6">
        <f>AW63/AY63</f>
        <v/>
      </c>
    </row>
    <row r="62">
      <c r="A62" s="2" t="inlineStr"/>
      <c r="B62" s="2" t="inlineStr">
        <is>
          <t>111001100013</t>
        </is>
      </c>
      <c r="C62" s="2" t="inlineStr">
        <is>
          <t>COLEGIO BUENAVISTA (IED) - SEDE PRINCIPAL</t>
        </is>
      </c>
      <c r="D62" s="2" t="inlineStr">
        <is>
          <t>YUIBARI MATIAS TANDIOY CHASOY</t>
        </is>
      </c>
      <c r="E62" s="2" t="inlineStr">
        <is>
          <t>1016718403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COUNTIF(J64:AV64,"CORRECTO")</f>
        <v/>
      </c>
      <c r="AX62" s="5">
        <f>COUNTIF(J64:AV64,"INCORRECTO")</f>
        <v/>
      </c>
      <c r="AY62" s="5" t="n">
        <v>20</v>
      </c>
      <c r="AZ62" s="6">
        <f>AW64/AY64</f>
        <v/>
      </c>
    </row>
    <row r="63">
      <c r="A63" s="2" t="inlineStr"/>
      <c r="B63" s="2" t="inlineStr">
        <is>
          <t>111001100013</t>
        </is>
      </c>
      <c r="C63" s="2" t="inlineStr">
        <is>
          <t>COLEGIO BUENAVISTA (IED) - SEDE PRINCIPAL</t>
        </is>
      </c>
      <c r="D63" s="2" t="inlineStr">
        <is>
          <t>ZARA JIRETH GRISALES PEREZ</t>
        </is>
      </c>
      <c r="E63" s="2" t="inlineStr">
        <is>
          <t>1011324941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D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COUNTIF(J65:AV65,"CORRECTO")</f>
        <v/>
      </c>
      <c r="AX63" s="5">
        <f>COUNTIF(J65:AV65,"INCORRECTO")</f>
        <v/>
      </c>
      <c r="AY63" s="5" t="n">
        <v>20</v>
      </c>
      <c r="AZ63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2026-06-25T15:41:08Z</dcterms:created>
  <dcterms:modified xmlns:dcterms="http://purl.org/dc/terms/" xmlns:xsi="http://www.w3.org/2001/XMLSchema-instance" xsi:type="dcterms:W3CDTF">2026-06-26T23:33:27Z</dcterms:modified>
</cp:coreProperties>
</file>