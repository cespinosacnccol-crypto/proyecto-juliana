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2" customWidth="1" min="39" max="39"/>
    <col width="12" customWidth="1" min="40" max="40"/>
    <col width="12" customWidth="1" min="41" max="41"/>
    <col width="18" customWidth="1" min="42" max="4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CORRECTAS</t>
        </is>
      </c>
      <c r="AN1" s="1" t="inlineStr">
        <is>
          <t>INCORRECTAS</t>
        </is>
      </c>
      <c r="AO1" s="1" t="inlineStr">
        <is>
          <t>TOTAL_EVAL</t>
        </is>
      </c>
      <c r="AP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DERIAN NIKOLAY ARMERO GUISA</t>
        </is>
      </c>
      <c r="E2" s="2" t="inlineStr">
        <is>
          <t>1033817466</t>
        </is>
      </c>
      <c r="F2" s="2" t="n">
        <v>3</v>
      </c>
      <c r="G2" s="2" t="n">
        <v>301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3" t="inlineStr">
        <is>
          <t>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5">
        <f>COUNTIF(J2:AL2,"CORRECTO")</f>
        <v/>
      </c>
      <c r="AN2" s="5">
        <f>COUNTIF(J2:AL2,"INCORRECTO")</f>
        <v/>
      </c>
      <c r="AO2" s="5" t="n">
        <v>15</v>
      </c>
      <c r="AP2" s="6">
        <f>AM2/AO2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NIÑO URBANO JOSEPH NATHAN</t>
        </is>
      </c>
      <c r="E3" s="2" t="inlineStr">
        <is>
          <t>1025567264</t>
        </is>
      </c>
      <c r="F3" s="2" t="n">
        <v>3</v>
      </c>
      <c r="G3" s="2" t="n">
        <v>301</v>
      </c>
      <c r="H3" s="2" t="inlineStr">
        <is>
          <t>MATEMÁTICAS</t>
        </is>
      </c>
      <c r="I3" s="2" t="inlineStr">
        <is>
          <t>D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3" t="inlineStr">
        <is>
          <t>CORRECTO</t>
        </is>
      </c>
      <c r="AE3" s="2" t="inlineStr">
        <is>
          <t>D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3" t="inlineStr">
        <is>
          <t>CORRECTO</t>
        </is>
      </c>
      <c r="AK3" s="2" t="inlineStr"/>
      <c r="AL3" s="4" t="inlineStr">
        <is>
          <t>INCORRECTO</t>
        </is>
      </c>
      <c r="AM3" s="5">
        <f>COUNTIF(J3:AL3,"CORRECTO")</f>
        <v/>
      </c>
      <c r="AN3" s="5">
        <f>COUNTIF(J3:AL3,"INCORRECTO")</f>
        <v/>
      </c>
      <c r="AO3" s="5" t="n">
        <v>15</v>
      </c>
      <c r="AP3" s="6">
        <f>AM3/AO3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DULCE NAHOMY CESPEDES TOVAR</t>
        </is>
      </c>
      <c r="E4" s="2" t="inlineStr">
        <is>
          <t>1033815532</t>
        </is>
      </c>
      <c r="F4" s="2" t="n">
        <v>3</v>
      </c>
      <c r="G4" s="2" t="n">
        <v>301</v>
      </c>
      <c r="H4" s="2" t="inlineStr">
        <is>
          <t>MATEMÁTICAS</t>
        </is>
      </c>
      <c r="I4" s="2" t="inlineStr">
        <is>
          <t>D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D</t>
        </is>
      </c>
      <c r="AD4" s="3" t="inlineStr">
        <is>
          <t>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D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5">
        <f>COUNTIF(J4:AL4,"CORRECTO")</f>
        <v/>
      </c>
      <c r="AN4" s="5">
        <f>COUNTIF(J4:AL4,"INCORRECTO")</f>
        <v/>
      </c>
      <c r="AO4" s="5" t="n">
        <v>15</v>
      </c>
      <c r="AP4" s="6">
        <f>AM4/AO4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SARA MALENA CASTRO SALAS</t>
        </is>
      </c>
      <c r="E5" s="2" t="inlineStr">
        <is>
          <t>1033822295</t>
        </is>
      </c>
      <c r="F5" s="2" t="n">
        <v>3</v>
      </c>
      <c r="G5" s="2" t="n">
        <v>301</v>
      </c>
      <c r="H5" s="2" t="inlineStr">
        <is>
          <t>MATEMÁTICAS</t>
        </is>
      </c>
      <c r="I5" s="2" t="inlineStr">
        <is>
          <t>D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3" t="inlineStr">
        <is>
          <t>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5">
        <f>COUNTIF(J5:AL5,"CORRECTO")</f>
        <v/>
      </c>
      <c r="AN5" s="5">
        <f>COUNTIF(J5:AL5,"INCORRECTO")</f>
        <v/>
      </c>
      <c r="AO5" s="5" t="n">
        <v>15</v>
      </c>
      <c r="AP5" s="6">
        <f>AM5/AO5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MARIAM CAMILA PADILLA BRITO</t>
        </is>
      </c>
      <c r="E6" s="2" t="inlineStr">
        <is>
          <t>1029296853</t>
        </is>
      </c>
      <c r="F6" s="2" t="n">
        <v>3</v>
      </c>
      <c r="G6" s="2" t="n">
        <v>301</v>
      </c>
      <c r="H6" s="2" t="inlineStr">
        <is>
          <t>MATEMÁTICAS</t>
        </is>
      </c>
      <c r="I6" s="2" t="inlineStr">
        <is>
          <t>D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3" t="inlineStr">
        <is>
          <t>CORRECTO</t>
        </is>
      </c>
      <c r="AE6" s="2" t="inlineStr">
        <is>
          <t>D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D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5">
        <f>COUNTIF(J6:AL6,"CORRECTO")</f>
        <v/>
      </c>
      <c r="AN6" s="5">
        <f>COUNTIF(J6:AL6,"INCORRECTO")</f>
        <v/>
      </c>
      <c r="AO6" s="5" t="n">
        <v>15</v>
      </c>
      <c r="AP6" s="6">
        <f>AM6/AO6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RODRIGUEZ CONTRERAS</t>
        </is>
      </c>
      <c r="E7" s="2" t="inlineStr">
        <is>
          <t>1033807350</t>
        </is>
      </c>
      <c r="F7" s="2" t="n">
        <v>3</v>
      </c>
      <c r="G7" s="2" t="n">
        <v>301</v>
      </c>
      <c r="H7" s="2" t="inlineStr">
        <is>
          <t>MATEMÁTICAS</t>
        </is>
      </c>
      <c r="I7" s="2" t="inlineStr">
        <is>
          <t>D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D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5">
        <f>COUNTIF(J7:AL7,"CORRECTO")</f>
        <v/>
      </c>
      <c r="AN7" s="5">
        <f>COUNTIF(J7:AL7,"INCORRECTO")</f>
        <v/>
      </c>
      <c r="AO7" s="5" t="n">
        <v>15</v>
      </c>
      <c r="AP7" s="6">
        <f>AM7/AO7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ASHLEY NICOLE GALLEGO RODRIGUEZ</t>
        </is>
      </c>
      <c r="E8" s="2" t="inlineStr">
        <is>
          <t>1025560897</t>
        </is>
      </c>
      <c r="F8" s="2" t="n">
        <v>3</v>
      </c>
      <c r="G8" s="2" t="n">
        <v>301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D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5">
        <f>COUNTIF(J8:AL8,"CORRECTO")</f>
        <v/>
      </c>
      <c r="AN8" s="5">
        <f>COUNTIF(J8:AL8,"INCORRECTO")</f>
        <v/>
      </c>
      <c r="AO8" s="5" t="n">
        <v>15</v>
      </c>
      <c r="AP8" s="6">
        <f>AM8/AO8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EMILY JULIANA RIOS REYES</t>
        </is>
      </c>
      <c r="E9" s="2" t="inlineStr">
        <is>
          <t>1023412436</t>
        </is>
      </c>
      <c r="F9" s="2" t="n">
        <v>3</v>
      </c>
      <c r="G9" s="2" t="n">
        <v>301</v>
      </c>
      <c r="H9" s="2" t="inlineStr">
        <is>
          <t>MATEMÁTICAS</t>
        </is>
      </c>
      <c r="I9" s="2" t="inlineStr">
        <is>
          <t>D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D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D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5">
        <f>COUNTIF(J9:AL9,"CORRECTO")</f>
        <v/>
      </c>
      <c r="AN9" s="5">
        <f>COUNTIF(J9:AL9,"INCORRECTO")</f>
        <v/>
      </c>
      <c r="AO9" s="5" t="n">
        <v>15</v>
      </c>
      <c r="AP9" s="6">
        <f>AM9/AO9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ANTHONY MATIAS HIGUITA TORRES</t>
        </is>
      </c>
      <c r="E10" s="2" t="inlineStr">
        <is>
          <t>1023039571</t>
        </is>
      </c>
      <c r="F10" s="2" t="n">
        <v>3</v>
      </c>
      <c r="G10" s="2" t="n">
        <v>301</v>
      </c>
      <c r="H10" s="2" t="inlineStr">
        <is>
          <t>MATEMÁTICAS</t>
        </is>
      </c>
      <c r="I10" s="2" t="inlineStr">
        <is>
          <t>D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5">
        <f>COUNTIF(J10:AL10,"CORRECTO")</f>
        <v/>
      </c>
      <c r="AN10" s="5">
        <f>COUNTIF(J10:AL10,"INCORRECTO")</f>
        <v/>
      </c>
      <c r="AO10" s="5" t="n">
        <v>15</v>
      </c>
      <c r="AP10" s="6">
        <f>AM10/AO10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JOSEPH MATIAS RINCON ZAPATA</t>
        </is>
      </c>
      <c r="E11" s="2" t="inlineStr">
        <is>
          <t>1011250867</t>
        </is>
      </c>
      <c r="F11" s="2" t="n">
        <v>3</v>
      </c>
      <c r="G11" s="2" t="n">
        <v>301</v>
      </c>
      <c r="H11" s="2" t="inlineStr">
        <is>
          <t>MATEMÁTICAS</t>
        </is>
      </c>
      <c r="I11" s="2" t="inlineStr">
        <is>
          <t>D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3" t="inlineStr">
        <is>
          <t>CORRECTO</t>
        </is>
      </c>
      <c r="AE11" s="2" t="inlineStr">
        <is>
          <t>D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5">
        <f>COUNTIF(J11:AL11,"CORRECTO")</f>
        <v/>
      </c>
      <c r="AN11" s="5">
        <f>COUNTIF(J11:AL11,"INCORRECTO")</f>
        <v/>
      </c>
      <c r="AO11" s="5" t="n">
        <v>15</v>
      </c>
      <c r="AP11" s="6">
        <f>AM11/AO11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LINDSEY MARIANA LARA MORALES</t>
        </is>
      </c>
      <c r="E12" s="2" t="inlineStr">
        <is>
          <t>1033815514</t>
        </is>
      </c>
      <c r="F12" s="2" t="n">
        <v>3</v>
      </c>
      <c r="G12" s="2" t="n">
        <v>301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3" t="inlineStr">
        <is>
          <t>CORRECTO</t>
        </is>
      </c>
      <c r="AE12" s="2" t="inlineStr">
        <is>
          <t>D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5">
        <f>COUNTIF(J12:AL12,"CORRECTO")</f>
        <v/>
      </c>
      <c r="AN12" s="5">
        <f>COUNTIF(J12:AL12,"INCORRECTO")</f>
        <v/>
      </c>
      <c r="AO12" s="5" t="n">
        <v>15</v>
      </c>
      <c r="AP12" s="6">
        <f>AM12/AO12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AILEN LUCIANA PINEDA VELASQUEZ</t>
        </is>
      </c>
      <c r="E13" s="2" t="inlineStr">
        <is>
          <t>1025560702</t>
        </is>
      </c>
      <c r="F13" s="2" t="n">
        <v>3</v>
      </c>
      <c r="G13" s="2" t="n">
        <v>301</v>
      </c>
      <c r="H13" s="2" t="inlineStr">
        <is>
          <t>MATEMÁTICAS</t>
        </is>
      </c>
      <c r="I13" s="2" t="inlineStr">
        <is>
          <t>D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D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3" t="inlineStr">
        <is>
          <t>CORRECTO</t>
        </is>
      </c>
      <c r="AK13" s="2" t="inlineStr">
        <is>
          <t>D</t>
        </is>
      </c>
      <c r="AL13" s="4" t="inlineStr">
        <is>
          <t>INCORRECTO</t>
        </is>
      </c>
      <c r="AM13" s="5">
        <f>COUNTIF(J13:AL13,"CORRECTO")</f>
        <v/>
      </c>
      <c r="AN13" s="5">
        <f>COUNTIF(J13:AL13,"INCORRECTO")</f>
        <v/>
      </c>
      <c r="AO13" s="5" t="n">
        <v>15</v>
      </c>
      <c r="AP13" s="6">
        <f>AM13/AO13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LAURA SALOMÉ PALACIOS OTALORA</t>
        </is>
      </c>
      <c r="E14" s="2" t="inlineStr">
        <is>
          <t>1075806476</t>
        </is>
      </c>
      <c r="F14" s="2" t="n">
        <v>3</v>
      </c>
      <c r="G14" s="2" t="n">
        <v>301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3" t="inlineStr">
        <is>
          <t>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5">
        <f>COUNTIF(J14:AL14,"CORRECTO")</f>
        <v/>
      </c>
      <c r="AN14" s="5">
        <f>COUNTIF(J14:AL14,"INCORRECTO")</f>
        <v/>
      </c>
      <c r="AO14" s="5" t="n">
        <v>15</v>
      </c>
      <c r="AP14" s="6">
        <f>AM14/AO14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SARA JULIETH RANGEL SOGAMOSO</t>
        </is>
      </c>
      <c r="E15" s="2" t="inlineStr">
        <is>
          <t>1033821411</t>
        </is>
      </c>
      <c r="F15" s="2" t="n">
        <v>3</v>
      </c>
      <c r="G15" s="2" t="n">
        <v>301</v>
      </c>
      <c r="H15" s="2" t="inlineStr">
        <is>
          <t>MATEMÁTICAS</t>
        </is>
      </c>
      <c r="I15" s="2" t="inlineStr">
        <is>
          <t>D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3" t="inlineStr">
        <is>
          <t>CORRECTO</t>
        </is>
      </c>
      <c r="AK15" s="2" t="inlineStr">
        <is>
          <t>D</t>
        </is>
      </c>
      <c r="AL15" s="4" t="inlineStr">
        <is>
          <t>INCORRECTO</t>
        </is>
      </c>
      <c r="AM15" s="5">
        <f>COUNTIF(J15:AL15,"CORRECTO")</f>
        <v/>
      </c>
      <c r="AN15" s="5">
        <f>COUNTIF(J15:AL15,"INCORRECTO")</f>
        <v/>
      </c>
      <c r="AO15" s="5" t="n">
        <v>15</v>
      </c>
      <c r="AP15" s="6">
        <f>AM15/AO15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MAXIMILIANO PEREZ LEON</t>
        </is>
      </c>
      <c r="E16" s="2" t="inlineStr">
        <is>
          <t>1023411427</t>
        </is>
      </c>
      <c r="F16" s="2" t="n">
        <v>3</v>
      </c>
      <c r="G16" s="2" t="n">
        <v>301</v>
      </c>
      <c r="H16" s="2" t="inlineStr">
        <is>
          <t>MATEMÁTICAS</t>
        </is>
      </c>
      <c r="I16" s="2" t="inlineStr">
        <is>
          <t>D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3" t="inlineStr">
        <is>
          <t>CORRECTO</t>
        </is>
      </c>
      <c r="AE16" s="2" t="inlineStr">
        <is>
          <t>D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3" t="inlineStr">
        <is>
          <t>CORRECTO</t>
        </is>
      </c>
      <c r="AK16" s="2" t="inlineStr">
        <is>
          <t>B</t>
        </is>
      </c>
      <c r="AL16" s="4" t="inlineStr">
        <is>
          <t>INCORRECTO</t>
        </is>
      </c>
      <c r="AM16" s="5">
        <f>COUNTIF(J16:AL16,"CORRECTO")</f>
        <v/>
      </c>
      <c r="AN16" s="5">
        <f>COUNTIF(J16:AL16,"INCORRECTO")</f>
        <v/>
      </c>
      <c r="AO16" s="5" t="n">
        <v>15</v>
      </c>
      <c r="AP16" s="6">
        <f>AM16/AO16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DYLAN STIVEN UMAÑA RUIZ</t>
        </is>
      </c>
      <c r="E17" s="2" t="inlineStr">
        <is>
          <t>1023980366</t>
        </is>
      </c>
      <c r="F17" s="2" t="n">
        <v>3</v>
      </c>
      <c r="G17" s="2" t="n">
        <v>301</v>
      </c>
      <c r="H17" s="2" t="inlineStr">
        <is>
          <t>MATEMÁTICAS</t>
        </is>
      </c>
      <c r="I17" s="2" t="inlineStr">
        <is>
          <t>D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C</t>
        </is>
      </c>
      <c r="V17" s="4" t="inlineStr">
        <is>
          <t>INCORRECTO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D</t>
        </is>
      </c>
      <c r="AD17" s="3" t="inlineStr">
        <is>
          <t>CORRECTO</t>
        </is>
      </c>
      <c r="AE17" s="2" t="inlineStr">
        <is>
          <t>D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3" t="inlineStr">
        <is>
          <t>CORRECTO</t>
        </is>
      </c>
      <c r="AK17" s="2" t="inlineStr">
        <is>
          <t>C</t>
        </is>
      </c>
      <c r="AL17" s="4" t="inlineStr">
        <is>
          <t>INCORRECTO</t>
        </is>
      </c>
      <c r="AM17" s="5">
        <f>COUNTIF(J17:AL17,"CORRECTO")</f>
        <v/>
      </c>
      <c r="AN17" s="5">
        <f>COUNTIF(J17:AL17,"INCORRECTO")</f>
        <v/>
      </c>
      <c r="AO17" s="5" t="n">
        <v>15</v>
      </c>
      <c r="AP17" s="6">
        <f>AM17/AO17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SIRIANNY CAROLINA PRIETO HERNANDEZ</t>
        </is>
      </c>
      <c r="E18" s="2" t="inlineStr">
        <is>
          <t>6361291</t>
        </is>
      </c>
      <c r="F18" s="2" t="n">
        <v>3</v>
      </c>
      <c r="G18" s="2" t="n">
        <v>301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3" t="inlineStr">
        <is>
          <t>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3" t="inlineStr">
        <is>
          <t>CORRECTO</t>
        </is>
      </c>
      <c r="AK18" s="2" t="inlineStr">
        <is>
          <t>C</t>
        </is>
      </c>
      <c r="AL18" s="4" t="inlineStr">
        <is>
          <t>INCORRECTO</t>
        </is>
      </c>
      <c r="AM18" s="5">
        <f>COUNTIF(J18:AL18,"CORRECTO")</f>
        <v/>
      </c>
      <c r="AN18" s="5">
        <f>COUNTIF(J18:AL18,"INCORRECTO")</f>
        <v/>
      </c>
      <c r="AO18" s="5" t="n">
        <v>15</v>
      </c>
      <c r="AP18" s="6">
        <f>AM18/AO18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JONATHAN FELIPE CASAS CARDENAS</t>
        </is>
      </c>
      <c r="E19" s="2" t="inlineStr">
        <is>
          <t>1033815885</t>
        </is>
      </c>
      <c r="F19" s="2" t="n">
        <v>3</v>
      </c>
      <c r="G19" s="2" t="n">
        <v>301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5">
        <f>COUNTIF(J19:AL19,"CORRECTO")</f>
        <v/>
      </c>
      <c r="AN19" s="5">
        <f>COUNTIF(J19:AL19,"INCORRECTO")</f>
        <v/>
      </c>
      <c r="AO19" s="5" t="n">
        <v>15</v>
      </c>
      <c r="AP19" s="6">
        <f>AM19/AO19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LAURA FERNANDA TOLENTINO FLOREZ</t>
        </is>
      </c>
      <c r="E20" s="2" t="inlineStr">
        <is>
          <t>1025560613</t>
        </is>
      </c>
      <c r="F20" s="2" t="n">
        <v>3</v>
      </c>
      <c r="G20" s="2" t="n">
        <v>301</v>
      </c>
      <c r="H20" s="2" t="inlineStr">
        <is>
          <t>MATEMÁTICAS</t>
        </is>
      </c>
      <c r="I20" s="2" t="inlineStr">
        <is>
          <t>D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D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5">
        <f>COUNTIF(J20:AL20,"CORRECTO")</f>
        <v/>
      </c>
      <c r="AN20" s="5">
        <f>COUNTIF(J20:AL20,"INCORRECTO")</f>
        <v/>
      </c>
      <c r="AO20" s="5" t="n">
        <v>15</v>
      </c>
      <c r="AP20" s="6">
        <f>AM20/AO20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MATHIAS MUÑOZ BELTRAN</t>
        </is>
      </c>
      <c r="E21" s="2" t="inlineStr">
        <is>
          <t>1011248276</t>
        </is>
      </c>
      <c r="F21" s="2" t="n">
        <v>3</v>
      </c>
      <c r="G21" s="2" t="n">
        <v>301</v>
      </c>
      <c r="H21" s="2" t="inlineStr">
        <is>
          <t>MATEMÁTICAS</t>
        </is>
      </c>
      <c r="I21" s="2" t="inlineStr">
        <is>
          <t>D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C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3" t="inlineStr">
        <is>
          <t>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5">
        <f>COUNTIF(J21:AL21,"CORRECTO")</f>
        <v/>
      </c>
      <c r="AN21" s="5">
        <f>COUNTIF(J21:AL21,"INCORRECTO")</f>
        <v/>
      </c>
      <c r="AO21" s="5" t="n">
        <v>15</v>
      </c>
      <c r="AP21" s="6">
        <f>AM21/AO21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AILYN SOFIA MENDOZA FRANCO</t>
        </is>
      </c>
      <c r="E22" s="2" t="inlineStr">
        <is>
          <t>1027539134</t>
        </is>
      </c>
      <c r="F22" s="2" t="n">
        <v>3</v>
      </c>
      <c r="G22" s="2" t="n">
        <v>301</v>
      </c>
      <c r="H22" s="2" t="inlineStr">
        <is>
          <t>MATEMÁTICAS</t>
        </is>
      </c>
      <c r="I22" s="2" t="inlineStr">
        <is>
          <t>D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D</t>
        </is>
      </c>
      <c r="AD22" s="3" t="inlineStr">
        <is>
          <t>CORRECTO</t>
        </is>
      </c>
      <c r="AE22" s="2" t="inlineStr">
        <is>
          <t>D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5">
        <f>COUNTIF(J22:AL22,"CORRECTO")</f>
        <v/>
      </c>
      <c r="AN22" s="5">
        <f>COUNTIF(J22:AL22,"INCORRECTO")</f>
        <v/>
      </c>
      <c r="AO22" s="5" t="n">
        <v>15</v>
      </c>
      <c r="AP22" s="6">
        <f>AM22/AO22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MATIAS GARZON BARAJAS</t>
        </is>
      </c>
      <c r="E23" s="2" t="inlineStr">
        <is>
          <t>1033811206</t>
        </is>
      </c>
      <c r="F23" s="2" t="n">
        <v>3</v>
      </c>
      <c r="G23" s="2" t="n">
        <v>301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INCORRECTO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C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3" t="inlineStr">
        <is>
          <t>CORRECTO</t>
        </is>
      </c>
      <c r="AE23" s="2" t="inlineStr">
        <is>
          <t>D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5">
        <f>COUNTIF(J23:AL23,"CORRECTO")</f>
        <v/>
      </c>
      <c r="AN23" s="5">
        <f>COUNTIF(J23:AL23,"INCORRECTO")</f>
        <v/>
      </c>
      <c r="AO23" s="5" t="n">
        <v>15</v>
      </c>
      <c r="AP23" s="6">
        <f>AM23/AO23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LUCIANA ABRIL SERNA</t>
        </is>
      </c>
      <c r="E24" s="2" t="inlineStr">
        <is>
          <t>1021693287</t>
        </is>
      </c>
      <c r="F24" s="2" t="n">
        <v>3</v>
      </c>
      <c r="G24" s="2" t="n">
        <v>301</v>
      </c>
      <c r="H24" s="2" t="inlineStr">
        <is>
          <t>MATEMÁTICAS</t>
        </is>
      </c>
      <c r="I24" s="2" t="inlineStr">
        <is>
          <t>D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5">
        <f>COUNTIF(J24:AL24,"CORRECTO")</f>
        <v/>
      </c>
      <c r="AN24" s="5">
        <f>COUNTIF(J24:AL24,"INCORRECTO")</f>
        <v/>
      </c>
      <c r="AO24" s="5" t="n">
        <v>15</v>
      </c>
      <c r="AP24" s="6">
        <f>AM24/AO24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DAILEN SAMARA HERNANDEZ DUARTE</t>
        </is>
      </c>
      <c r="E25" s="2" t="inlineStr">
        <is>
          <t>1122940004</t>
        </is>
      </c>
      <c r="F25" s="2" t="n">
        <v>3</v>
      </c>
      <c r="G25" s="2" t="n">
        <v>301</v>
      </c>
      <c r="H25" s="2" t="inlineStr">
        <is>
          <t>MATEMÁTICAS</t>
        </is>
      </c>
      <c r="I25" s="2" t="inlineStr">
        <is>
          <t>D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D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3" t="inlineStr">
        <is>
          <t>CORRECTO</t>
        </is>
      </c>
      <c r="AK25" s="2" t="inlineStr"/>
      <c r="AL25" s="4" t="inlineStr">
        <is>
          <t>INCORRECTO</t>
        </is>
      </c>
      <c r="AM25" s="5">
        <f>COUNTIF(J25:AL25,"CORRECTO")</f>
        <v/>
      </c>
      <c r="AN25" s="5">
        <f>COUNTIF(J25:AL25,"INCORRECTO")</f>
        <v/>
      </c>
      <c r="AO25" s="5" t="n">
        <v>15</v>
      </c>
      <c r="AP25" s="6">
        <f>AM25/AO25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JUAN JOSE COMEZAQUIRA REAY</t>
        </is>
      </c>
      <c r="E26" s="2" t="inlineStr">
        <is>
          <t>1024591713</t>
        </is>
      </c>
      <c r="F26" s="2" t="n">
        <v>3</v>
      </c>
      <c r="G26" s="2" t="n">
        <v>301</v>
      </c>
      <c r="H26" s="2" t="inlineStr">
        <is>
          <t>MATEMÁTICAS</t>
        </is>
      </c>
      <c r="I26" s="2" t="inlineStr">
        <is>
          <t>D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D</t>
        </is>
      </c>
      <c r="AD26" s="3" t="inlineStr">
        <is>
          <t>CORRECTO</t>
        </is>
      </c>
      <c r="AE26" s="2" t="inlineStr">
        <is>
          <t>D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5">
        <f>COUNTIF(J26:AL26,"CORRECTO")</f>
        <v/>
      </c>
      <c r="AN26" s="5">
        <f>COUNTIF(J26:AL26,"INCORRECTO")</f>
        <v/>
      </c>
      <c r="AO26" s="5" t="n">
        <v>15</v>
      </c>
      <c r="AP26" s="6">
        <f>AM26/AO26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MARIA PAULA LEGUIZAMON BUSTOS</t>
        </is>
      </c>
      <c r="E27" s="2" t="inlineStr">
        <is>
          <t>1019767611</t>
        </is>
      </c>
      <c r="F27" s="2" t="n">
        <v>3</v>
      </c>
      <c r="G27" s="2" t="n">
        <v>301</v>
      </c>
      <c r="H27" s="2" t="inlineStr">
        <is>
          <t>MATEMÁTICAS</t>
        </is>
      </c>
      <c r="I27" s="2" t="inlineStr">
        <is>
          <t>D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3" t="inlineStr">
        <is>
          <t>CORRECTO</t>
        </is>
      </c>
      <c r="AE27" s="2" t="inlineStr">
        <is>
          <t>D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5">
        <f>COUNTIF(J27:AL27,"CORRECTO")</f>
        <v/>
      </c>
      <c r="AN27" s="5">
        <f>COUNTIF(J27:AL27,"INCORRECTO")</f>
        <v/>
      </c>
      <c r="AO27" s="5" t="n">
        <v>15</v>
      </c>
      <c r="AP27" s="6">
        <f>AM27/AO27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EMMANUEL NICOLAS SALAMANCA NUÑEZ</t>
        </is>
      </c>
      <c r="E28" s="2" t="inlineStr">
        <is>
          <t>1024597564</t>
        </is>
      </c>
      <c r="F28" s="2" t="n">
        <v>3</v>
      </c>
      <c r="G28" s="2" t="n">
        <v>301</v>
      </c>
      <c r="H28" s="2" t="inlineStr">
        <is>
          <t>MATEMÁTICAS</t>
        </is>
      </c>
      <c r="I28" s="2" t="inlineStr">
        <is>
          <t>D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D</t>
        </is>
      </c>
      <c r="AD28" s="3" t="inlineStr">
        <is>
          <t>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D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5">
        <f>COUNTIF(J28:AL28,"CORRECTO")</f>
        <v/>
      </c>
      <c r="AN28" s="5">
        <f>COUNTIF(J28:AL28,"INCORRECTO")</f>
        <v/>
      </c>
      <c r="AO28" s="5" t="n">
        <v>15</v>
      </c>
      <c r="AP28" s="6">
        <f>AM28/AO28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SARAHI MAITE CUBILLOS VIRGUEZ</t>
        </is>
      </c>
      <c r="E29" s="2" t="inlineStr">
        <is>
          <t>1031184052</t>
        </is>
      </c>
      <c r="F29" s="2" t="n">
        <v>3</v>
      </c>
      <c r="G29" s="2" t="n">
        <v>301</v>
      </c>
      <c r="H29" s="2" t="inlineStr">
        <is>
          <t>MATEMÁTICAS</t>
        </is>
      </c>
      <c r="I29" s="2" t="inlineStr">
        <is>
          <t>D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/>
      <c r="X29" s="4" t="inlineStr">
        <is>
          <t>INCORRECTO</t>
        </is>
      </c>
      <c r="Y29" s="2" t="inlineStr"/>
      <c r="Z29" s="4" t="inlineStr">
        <is>
          <t>INCORRECTO</t>
        </is>
      </c>
      <c r="AA29" s="2" t="inlineStr"/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5">
        <f>COUNTIF(J29:AL29,"CORRECTO")</f>
        <v/>
      </c>
      <c r="AN29" s="5">
        <f>COUNTIF(J29:AL29,"INCORRECTO")</f>
        <v/>
      </c>
      <c r="AO29" s="5" t="n">
        <v>15</v>
      </c>
      <c r="AP29" s="6">
        <f>AM29/AO29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MATIAS MORA HERNANDEZ</t>
        </is>
      </c>
      <c r="E30" s="2" t="inlineStr">
        <is>
          <t>1029154165</t>
        </is>
      </c>
      <c r="F30" s="2" t="n">
        <v>3</v>
      </c>
      <c r="G30" s="2" t="n">
        <v>301</v>
      </c>
      <c r="H30" s="2" t="inlineStr">
        <is>
          <t>MATEMÁTICAS</t>
        </is>
      </c>
      <c r="I30" s="2" t="inlineStr">
        <is>
          <t>D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D</t>
        </is>
      </c>
      <c r="AD30" s="3" t="inlineStr">
        <is>
          <t>CORRECTO</t>
        </is>
      </c>
      <c r="AE30" s="2" t="inlineStr">
        <is>
          <t>D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D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5">
        <f>COUNTIF(J30:AL30,"CORRECTO")</f>
        <v/>
      </c>
      <c r="AN30" s="5">
        <f>COUNTIF(J30:AL30,"INCORRECTO")</f>
        <v/>
      </c>
      <c r="AO30" s="5" t="n">
        <v>15</v>
      </c>
      <c r="AP30" s="6">
        <f>AM30/AO30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ZOHE MARIANA GIL PARRA</t>
        </is>
      </c>
      <c r="E31" s="2" t="inlineStr">
        <is>
          <t>1033812728</t>
        </is>
      </c>
      <c r="F31" s="2" t="n">
        <v>3</v>
      </c>
      <c r="G31" s="2" t="n">
        <v>301</v>
      </c>
      <c r="H31" s="2" t="inlineStr">
        <is>
          <t>MATEMÁTICAS</t>
        </is>
      </c>
      <c r="I31" s="2" t="inlineStr">
        <is>
          <t>A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D</t>
        </is>
      </c>
      <c r="AD31" s="3" t="inlineStr">
        <is>
          <t>CORRECTO</t>
        </is>
      </c>
      <c r="AE31" s="2" t="inlineStr">
        <is>
          <t>D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D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5">
        <f>COUNTIF(J31:AL31,"CORRECTO")</f>
        <v/>
      </c>
      <c r="AN31" s="5">
        <f>COUNTIF(J31:AL31,"INCORRECTO")</f>
        <v/>
      </c>
      <c r="AO31" s="5" t="n">
        <v>15</v>
      </c>
      <c r="AP31" s="6">
        <f>AM31/AO31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LAURA SHALOME ROJAS MENDOZA</t>
        </is>
      </c>
      <c r="E32" s="2" t="inlineStr">
        <is>
          <t>1027301667</t>
        </is>
      </c>
      <c r="F32" s="2" t="n">
        <v>3</v>
      </c>
      <c r="G32" s="2" t="n">
        <v>301</v>
      </c>
      <c r="H32" s="2" t="inlineStr">
        <is>
          <t>MATEMÁTICAS</t>
        </is>
      </c>
      <c r="I32" s="2" t="inlineStr">
        <is>
          <t>D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4" t="inlineStr">
        <is>
          <t>INCORRECTO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3" t="inlineStr">
        <is>
          <t>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D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5">
        <f>COUNTIF(J32:AL32,"CORRECTO")</f>
        <v/>
      </c>
      <c r="AN32" s="5">
        <f>COUNTIF(J32:AL32,"INCORRECTO")</f>
        <v/>
      </c>
      <c r="AO32" s="5" t="n">
        <v>15</v>
      </c>
      <c r="AP32" s="6">
        <f>AM32/AO32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ANGEL MATHIAS ESPINEL GALEANO</t>
        </is>
      </c>
      <c r="E33" s="2" t="inlineStr">
        <is>
          <t>1025561218</t>
        </is>
      </c>
      <c r="F33" s="2" t="n">
        <v>3</v>
      </c>
      <c r="G33" s="2" t="n">
        <v>301</v>
      </c>
      <c r="H33" s="2" t="inlineStr">
        <is>
          <t>MATEMÁTICAS</t>
        </is>
      </c>
      <c r="I33" s="2" t="inlineStr">
        <is>
          <t>D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D</t>
        </is>
      </c>
      <c r="AD33" s="3" t="inlineStr">
        <is>
          <t>CORRECTO</t>
        </is>
      </c>
      <c r="AE33" s="2" t="inlineStr">
        <is>
          <t>D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D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5">
        <f>COUNTIF(J33:AL33,"CORRECTO")</f>
        <v/>
      </c>
      <c r="AN33" s="5">
        <f>COUNTIF(J33:AL33,"INCORRECTO")</f>
        <v/>
      </c>
      <c r="AO33" s="5" t="n">
        <v>15</v>
      </c>
      <c r="AP33" s="6">
        <f>AM33/AO33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DANNA VALENTINA SIERRA RAMIREZ</t>
        </is>
      </c>
      <c r="E34" s="2" t="inlineStr">
        <is>
          <t>1033821592</t>
        </is>
      </c>
      <c r="F34" s="2" t="n">
        <v>3</v>
      </c>
      <c r="G34" s="2" t="n">
        <v>301</v>
      </c>
      <c r="H34" s="2" t="inlineStr">
        <is>
          <t>MATEMÁTICAS</t>
        </is>
      </c>
      <c r="I34" s="2" t="inlineStr">
        <is>
          <t>D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3" t="inlineStr">
        <is>
          <t>CORRECTO</t>
        </is>
      </c>
      <c r="AE34" s="2" t="inlineStr">
        <is>
          <t>D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5">
        <f>COUNTIF(J34:AL34,"CORRECTO")</f>
        <v/>
      </c>
      <c r="AN34" s="5">
        <f>COUNTIF(J34:AL34,"INCORRECTO")</f>
        <v/>
      </c>
      <c r="AO34" s="5" t="n">
        <v>15</v>
      </c>
      <c r="AP34" s="6">
        <f>AM34/AO34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HELLEN SARAY ROJAS CUPITRA</t>
        </is>
      </c>
      <c r="E35" s="2" t="inlineStr">
        <is>
          <t>1027301172</t>
        </is>
      </c>
      <c r="F35" s="2" t="n">
        <v>3</v>
      </c>
      <c r="G35" s="2" t="n">
        <v>301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3" t="inlineStr">
        <is>
          <t>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5">
        <f>COUNTIF(J35:AL35,"CORRECTO")</f>
        <v/>
      </c>
      <c r="AN35" s="5">
        <f>COUNTIF(J35:AL35,"INCORRECTO")</f>
        <v/>
      </c>
      <c r="AO35" s="5" t="n">
        <v>15</v>
      </c>
      <c r="AP35" s="6">
        <f>AM35/AO35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EILEM SARAY PEÑA OYOLA</t>
        </is>
      </c>
      <c r="E36" s="2" t="inlineStr">
        <is>
          <t>1075600912</t>
        </is>
      </c>
      <c r="F36" s="2" t="n">
        <v>3</v>
      </c>
      <c r="G36" s="2" t="n">
        <v>301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/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5">
        <f>COUNTIF(J36:AL36,"CORRECTO")</f>
        <v/>
      </c>
      <c r="AN36" s="5">
        <f>COUNTIF(J36:AL36,"INCORRECTO")</f>
        <v/>
      </c>
      <c r="AO36" s="5" t="n">
        <v>15</v>
      </c>
      <c r="AP36" s="6">
        <f>AM36/AO36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THIAGO ALEJANDRO GARCIA CASTAÑO</t>
        </is>
      </c>
      <c r="E37" s="2" t="inlineStr">
        <is>
          <t>1027538151</t>
        </is>
      </c>
      <c r="F37" s="2" t="n">
        <v>3</v>
      </c>
      <c r="G37" s="2" t="n">
        <v>301</v>
      </c>
      <c r="H37" s="2" t="inlineStr">
        <is>
          <t>MATEMÁTICAS</t>
        </is>
      </c>
      <c r="I37" s="2" t="inlineStr">
        <is>
          <t>D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5">
        <f>COUNTIF(J37:AL37,"CORRECTO")</f>
        <v/>
      </c>
      <c r="AN37" s="5">
        <f>COUNTIF(J37:AL37,"INCORRECTO")</f>
        <v/>
      </c>
      <c r="AO37" s="5" t="n">
        <v>15</v>
      </c>
      <c r="AP37" s="6">
        <f>AM37/AO37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NICOLAS DAVID GOMEZ PACHECO</t>
        </is>
      </c>
      <c r="E38" s="2" t="inlineStr">
        <is>
          <t>1025562445</t>
        </is>
      </c>
      <c r="F38" s="2" t="n">
        <v>3</v>
      </c>
      <c r="G38" s="2" t="n">
        <v>301</v>
      </c>
      <c r="H38" s="2" t="inlineStr">
        <is>
          <t>MATEMÁTICAS</t>
        </is>
      </c>
      <c r="I38" s="2" t="inlineStr">
        <is>
          <t>D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D</t>
        </is>
      </c>
      <c r="AD38" s="3" t="inlineStr">
        <is>
          <t>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5">
        <f>COUNTIF(J38:AL38,"CORRECTO")</f>
        <v/>
      </c>
      <c r="AN38" s="5">
        <f>COUNTIF(J38:AL38,"INCORRECTO")</f>
        <v/>
      </c>
      <c r="AO38" s="5" t="n">
        <v>15</v>
      </c>
      <c r="AP38" s="6">
        <f>AM38/AO38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SAMUEL MATHIAS BEJARANO BERNAL</t>
        </is>
      </c>
      <c r="E39" s="2" t="inlineStr">
        <is>
          <t>1023040531</t>
        </is>
      </c>
      <c r="F39" s="2" t="n">
        <v>3</v>
      </c>
      <c r="G39" s="2" t="n">
        <v>301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D</t>
        </is>
      </c>
      <c r="AD39" s="3" t="inlineStr">
        <is>
          <t>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3" t="inlineStr">
        <is>
          <t>CORRECTO</t>
        </is>
      </c>
      <c r="AK39" s="2" t="inlineStr">
        <is>
          <t>C</t>
        </is>
      </c>
      <c r="AL39" s="4" t="inlineStr">
        <is>
          <t>INCORRECTO</t>
        </is>
      </c>
      <c r="AM39" s="5">
        <f>COUNTIF(J39:AL39,"CORRECTO")</f>
        <v/>
      </c>
      <c r="AN39" s="5">
        <f>COUNTIF(J39:AL39,"INCORRECTO")</f>
        <v/>
      </c>
      <c r="AO39" s="5" t="n">
        <v>15</v>
      </c>
      <c r="AP39" s="6">
        <f>AM39/AO39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DERIAN NIKOLAY ARMERO GUISA</t>
        </is>
      </c>
      <c r="E40" s="2" t="inlineStr">
        <is>
          <t>1033817466</t>
        </is>
      </c>
      <c r="F40" s="2" t="n">
        <v>3</v>
      </c>
      <c r="G40" s="2" t="n">
        <v>301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/>
      <c r="AH40" s="4" t="inlineStr">
        <is>
          <t>INCORRECTO</t>
        </is>
      </c>
      <c r="AI40" s="2" t="inlineStr"/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5">
        <f>COUNTIF(J40:AL40,"CORRECTO")</f>
        <v/>
      </c>
      <c r="AN40" s="5">
        <f>COUNTIF(J40:AL40,"INCORRECTO")</f>
        <v/>
      </c>
      <c r="AO40" s="5" t="n">
        <v>15</v>
      </c>
      <c r="AP40" s="6">
        <f>AM40/AO40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NIÑO URBANO JOSEPH NATHAN</t>
        </is>
      </c>
      <c r="E41" s="2" t="inlineStr">
        <is>
          <t>1025567264</t>
        </is>
      </c>
      <c r="F41" s="2" t="n">
        <v>3</v>
      </c>
      <c r="G41" s="2" t="n">
        <v>301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A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5">
        <f>COUNTIF(J41:AL41,"CORRECTO")</f>
        <v/>
      </c>
      <c r="AN41" s="5">
        <f>COUNTIF(J41:AL41,"INCORRECTO")</f>
        <v/>
      </c>
      <c r="AO41" s="5" t="n">
        <v>15</v>
      </c>
      <c r="AP41" s="6">
        <f>AM41/AO41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DULCE NAHOMY CESPEDES TOVAR</t>
        </is>
      </c>
      <c r="E42" s="2" t="inlineStr">
        <is>
          <t>1033815532</t>
        </is>
      </c>
      <c r="F42" s="2" t="n">
        <v>3</v>
      </c>
      <c r="G42" s="2" t="n">
        <v>301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D</t>
        </is>
      </c>
      <c r="AH42" s="4" t="inlineStr">
        <is>
          <t>INCORRECTO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5">
        <f>COUNTIF(J42:AL42,"CORRECTO")</f>
        <v/>
      </c>
      <c r="AN42" s="5">
        <f>COUNTIF(J42:AL42,"INCORRECTO")</f>
        <v/>
      </c>
      <c r="AO42" s="5" t="n">
        <v>15</v>
      </c>
      <c r="AP42" s="6">
        <f>AM42/AO42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SARA MALENA CASTRO SALAS</t>
        </is>
      </c>
      <c r="E43" s="2" t="inlineStr">
        <is>
          <t>1033822295</t>
        </is>
      </c>
      <c r="F43" s="2" t="n">
        <v>3</v>
      </c>
      <c r="G43" s="2" t="n">
        <v>301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B</t>
        </is>
      </c>
      <c r="AL43" s="4" t="inlineStr">
        <is>
          <t>INCORRECTO</t>
        </is>
      </c>
      <c r="AM43" s="5">
        <f>COUNTIF(J43:AL43,"CORRECTO")</f>
        <v/>
      </c>
      <c r="AN43" s="5">
        <f>COUNTIF(J43:AL43,"INCORRECTO")</f>
        <v/>
      </c>
      <c r="AO43" s="5" t="n">
        <v>15</v>
      </c>
      <c r="AP43" s="6">
        <f>AM43/AO43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MARIAM CAMILA PADILLA BRITO</t>
        </is>
      </c>
      <c r="E44" s="2" t="inlineStr">
        <is>
          <t>1029296853</t>
        </is>
      </c>
      <c r="F44" s="2" t="n">
        <v>3</v>
      </c>
      <c r="G44" s="2" t="n">
        <v>301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5">
        <f>COUNTIF(J44:AL44,"CORRECTO")</f>
        <v/>
      </c>
      <c r="AN44" s="5">
        <f>COUNTIF(J44:AL44,"INCORRECTO")</f>
        <v/>
      </c>
      <c r="AO44" s="5" t="n">
        <v>15</v>
      </c>
      <c r="AP44" s="6">
        <f>AM44/AO44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DANNA VALENTINA RODRIGUEZ CONTRERAS</t>
        </is>
      </c>
      <c r="E45" s="2" t="inlineStr">
        <is>
          <t>1033807350</t>
        </is>
      </c>
      <c r="F45" s="2" t="n">
        <v>3</v>
      </c>
      <c r="G45" s="2" t="n">
        <v>301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5">
        <f>COUNTIF(J45:AL45,"CORRECTO")</f>
        <v/>
      </c>
      <c r="AN45" s="5">
        <f>COUNTIF(J45:AL45,"INCORRECTO")</f>
        <v/>
      </c>
      <c r="AO45" s="5" t="n">
        <v>15</v>
      </c>
      <c r="AP45" s="6">
        <f>AM45/AO45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ASHLEY NICOLE GALLEGO RODRIGUEZ</t>
        </is>
      </c>
      <c r="E46" s="2" t="inlineStr">
        <is>
          <t>1025560897</t>
        </is>
      </c>
      <c r="F46" s="2" t="n">
        <v>3</v>
      </c>
      <c r="G46" s="2" t="n">
        <v>301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C</t>
        </is>
      </c>
      <c r="AB46" s="3" t="inlineStr">
        <is>
          <t>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5">
        <f>COUNTIF(J46:AL46,"CORRECTO")</f>
        <v/>
      </c>
      <c r="AN46" s="5">
        <f>COUNTIF(J46:AL46,"INCORRECTO")</f>
        <v/>
      </c>
      <c r="AO46" s="5" t="n">
        <v>15</v>
      </c>
      <c r="AP46" s="6">
        <f>AM46/AO46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EMILY JULIANA RIOS REYES</t>
        </is>
      </c>
      <c r="E47" s="2" t="inlineStr">
        <is>
          <t>1023412436</t>
        </is>
      </c>
      <c r="F47" s="2" t="n">
        <v>3</v>
      </c>
      <c r="G47" s="2" t="n">
        <v>301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5">
        <f>COUNTIF(J47:AL47,"CORRECTO")</f>
        <v/>
      </c>
      <c r="AN47" s="5">
        <f>COUNTIF(J47:AL47,"INCORRECTO")</f>
        <v/>
      </c>
      <c r="AO47" s="5" t="n">
        <v>15</v>
      </c>
      <c r="AP47" s="6">
        <f>AM47/AO47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ANTHONY MATIAS HIGUITA TORRES</t>
        </is>
      </c>
      <c r="E48" s="2" t="inlineStr">
        <is>
          <t>1023039571</t>
        </is>
      </c>
      <c r="F48" s="2" t="n">
        <v>3</v>
      </c>
      <c r="G48" s="2" t="n">
        <v>301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A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5">
        <f>COUNTIF(J48:AL48,"CORRECTO")</f>
        <v/>
      </c>
      <c r="AN48" s="5">
        <f>COUNTIF(J48:AL48,"INCORRECTO")</f>
        <v/>
      </c>
      <c r="AO48" s="5" t="n">
        <v>15</v>
      </c>
      <c r="AP48" s="6">
        <f>AM48/AO48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JOSEPH MATIAS RINCON ZAPATA</t>
        </is>
      </c>
      <c r="E49" s="2" t="inlineStr">
        <is>
          <t>1011250867</t>
        </is>
      </c>
      <c r="F49" s="2" t="n">
        <v>3</v>
      </c>
      <c r="G49" s="2" t="n">
        <v>301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3" t="inlineStr">
        <is>
          <t>CORRECTO</t>
        </is>
      </c>
      <c r="AI49" s="2" t="inlineStr"/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5">
        <f>COUNTIF(J49:AL49,"CORRECTO")</f>
        <v/>
      </c>
      <c r="AN49" s="5">
        <f>COUNTIF(J49:AL49,"INCORRECTO")</f>
        <v/>
      </c>
      <c r="AO49" s="5" t="n">
        <v>15</v>
      </c>
      <c r="AP49" s="6">
        <f>AM49/AO49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LINDSEY MARIANA LARA MORALES</t>
        </is>
      </c>
      <c r="E50" s="2" t="inlineStr">
        <is>
          <t>1033815514</t>
        </is>
      </c>
      <c r="F50" s="2" t="n">
        <v>3</v>
      </c>
      <c r="G50" s="2" t="n">
        <v>301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5">
        <f>COUNTIF(J50:AL50,"CORRECTO")</f>
        <v/>
      </c>
      <c r="AN50" s="5">
        <f>COUNTIF(J50:AL50,"INCORRECTO")</f>
        <v/>
      </c>
      <c r="AO50" s="5" t="n">
        <v>15</v>
      </c>
      <c r="AP50" s="6">
        <f>AM50/AO50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AILEN LUCIANA PINEDA VELASQUEZ</t>
        </is>
      </c>
      <c r="E51" s="2" t="inlineStr">
        <is>
          <t>1025560702</t>
        </is>
      </c>
      <c r="F51" s="2" t="n">
        <v>3</v>
      </c>
      <c r="G51" s="2" t="n">
        <v>301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5">
        <f>COUNTIF(J51:AL51,"CORRECTO")</f>
        <v/>
      </c>
      <c r="AN51" s="5">
        <f>COUNTIF(J51:AL51,"INCORRECTO")</f>
        <v/>
      </c>
      <c r="AO51" s="5" t="n">
        <v>15</v>
      </c>
      <c r="AP51" s="6">
        <f>AM51/AO51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LAURA SALOMÉ PALACIOS OTALORA</t>
        </is>
      </c>
      <c r="E52" s="2" t="inlineStr">
        <is>
          <t>1075806476</t>
        </is>
      </c>
      <c r="F52" s="2" t="n">
        <v>3</v>
      </c>
      <c r="G52" s="2" t="n">
        <v>301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5">
        <f>COUNTIF(J52:AL52,"CORRECTO")</f>
        <v/>
      </c>
      <c r="AN52" s="5">
        <f>COUNTIF(J52:AL52,"INCORRECTO")</f>
        <v/>
      </c>
      <c r="AO52" s="5" t="n">
        <v>15</v>
      </c>
      <c r="AP52" s="6">
        <f>AM52/AO52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SARA JULIETH RANGEL SOGAMOSO</t>
        </is>
      </c>
      <c r="E53" s="2" t="inlineStr">
        <is>
          <t>1033821411</t>
        </is>
      </c>
      <c r="F53" s="2" t="n">
        <v>3</v>
      </c>
      <c r="G53" s="2" t="n">
        <v>301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5">
        <f>COUNTIF(J53:AL53,"CORRECTO")</f>
        <v/>
      </c>
      <c r="AN53" s="5">
        <f>COUNTIF(J53:AL53,"INCORRECTO")</f>
        <v/>
      </c>
      <c r="AO53" s="5" t="n">
        <v>15</v>
      </c>
      <c r="AP53" s="6">
        <f>AM53/AO53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MAXIMILIANO PEREZ LEON</t>
        </is>
      </c>
      <c r="E54" s="2" t="inlineStr">
        <is>
          <t>1023411427</t>
        </is>
      </c>
      <c r="F54" s="2" t="n">
        <v>3</v>
      </c>
      <c r="G54" s="2" t="n">
        <v>301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A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5">
        <f>COUNTIF(J54:AL54,"CORRECTO")</f>
        <v/>
      </c>
      <c r="AN54" s="5">
        <f>COUNTIF(J54:AL54,"INCORRECTO")</f>
        <v/>
      </c>
      <c r="AO54" s="5" t="n">
        <v>15</v>
      </c>
      <c r="AP54" s="6">
        <f>AM54/AO54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DYLAN STIVEN UMAÑA RUIZ</t>
        </is>
      </c>
      <c r="E55" s="2" t="inlineStr">
        <is>
          <t>1023980366</t>
        </is>
      </c>
      <c r="F55" s="2" t="n">
        <v>3</v>
      </c>
      <c r="G55" s="2" t="n">
        <v>301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A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5">
        <f>COUNTIF(J55:AL55,"CORRECTO")</f>
        <v/>
      </c>
      <c r="AN55" s="5">
        <f>COUNTIF(J55:AL55,"INCORRECTO")</f>
        <v/>
      </c>
      <c r="AO55" s="5" t="n">
        <v>15</v>
      </c>
      <c r="AP55" s="6">
        <f>AM55/AO55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SIRIANNY CAROLINA PRIETO HERNANDEZ</t>
        </is>
      </c>
      <c r="E56" s="2" t="inlineStr">
        <is>
          <t>6361291</t>
        </is>
      </c>
      <c r="F56" s="2" t="n">
        <v>3</v>
      </c>
      <c r="G56" s="2" t="n">
        <v>301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5">
        <f>COUNTIF(J56:AL56,"CORRECTO")</f>
        <v/>
      </c>
      <c r="AN56" s="5">
        <f>COUNTIF(J56:AL56,"INCORRECTO")</f>
        <v/>
      </c>
      <c r="AO56" s="5" t="n">
        <v>15</v>
      </c>
      <c r="AP56" s="6">
        <f>AM56/AO56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JONATHAN FELIPE CASAS CARDENAS</t>
        </is>
      </c>
      <c r="E57" s="2" t="inlineStr">
        <is>
          <t>1033815885</t>
        </is>
      </c>
      <c r="F57" s="2" t="n">
        <v>3</v>
      </c>
      <c r="G57" s="2" t="n">
        <v>301</v>
      </c>
      <c r="H57" s="2" t="inlineStr">
        <is>
          <t>LENGUAJE</t>
        </is>
      </c>
      <c r="I57" s="2" t="inlineStr"/>
      <c r="J57" s="4" t="inlineStr">
        <is>
          <t>INCORRECTO</t>
        </is>
      </c>
      <c r="K57" s="2" t="inlineStr"/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/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/>
      <c r="AH57" s="4" t="inlineStr">
        <is>
          <t>INCORRECTO</t>
        </is>
      </c>
      <c r="AI57" s="2" t="inlineStr"/>
      <c r="AJ57" s="4" t="inlineStr">
        <is>
          <t>INCORRECTO</t>
        </is>
      </c>
      <c r="AK57" s="2" t="inlineStr"/>
      <c r="AL57" s="4" t="inlineStr">
        <is>
          <t>INCORRECTO</t>
        </is>
      </c>
      <c r="AM57" s="5">
        <f>COUNTIF(J57:AL57,"CORRECTO")</f>
        <v/>
      </c>
      <c r="AN57" s="5">
        <f>COUNTIF(J57:AL57,"INCORRECTO")</f>
        <v/>
      </c>
      <c r="AO57" s="5" t="n">
        <v>15</v>
      </c>
      <c r="AP57" s="6">
        <f>AM57/AO57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LAURA FERNANDA TOLENTINO FLOREZ</t>
        </is>
      </c>
      <c r="E58" s="2" t="inlineStr">
        <is>
          <t>1025560613</t>
        </is>
      </c>
      <c r="F58" s="2" t="n">
        <v>3</v>
      </c>
      <c r="G58" s="2" t="n">
        <v>301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5">
        <f>COUNTIF(J58:AL58,"CORRECTO")</f>
        <v/>
      </c>
      <c r="AN58" s="5">
        <f>COUNTIF(J58:AL58,"INCORRECTO")</f>
        <v/>
      </c>
      <c r="AO58" s="5" t="n">
        <v>15</v>
      </c>
      <c r="AP58" s="6">
        <f>AM58/AO58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MATHIAS MUÑOZ BELTRAN</t>
        </is>
      </c>
      <c r="E59" s="2" t="inlineStr">
        <is>
          <t>1011248276</t>
        </is>
      </c>
      <c r="F59" s="2" t="n">
        <v>3</v>
      </c>
      <c r="G59" s="2" t="n">
        <v>301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5">
        <f>COUNTIF(J59:AL59,"CORRECTO")</f>
        <v/>
      </c>
      <c r="AN59" s="5">
        <f>COUNTIF(J59:AL59,"INCORRECTO")</f>
        <v/>
      </c>
      <c r="AO59" s="5" t="n">
        <v>15</v>
      </c>
      <c r="AP59" s="6">
        <f>AM59/AO59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AILYN SOFIA MENDOZA FRANCO</t>
        </is>
      </c>
      <c r="E60" s="2" t="inlineStr">
        <is>
          <t>1027539134</t>
        </is>
      </c>
      <c r="F60" s="2" t="n">
        <v>3</v>
      </c>
      <c r="G60" s="2" t="n">
        <v>301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5">
        <f>COUNTIF(J60:AL60,"CORRECTO")</f>
        <v/>
      </c>
      <c r="AN60" s="5">
        <f>COUNTIF(J60:AL60,"INCORRECTO")</f>
        <v/>
      </c>
      <c r="AO60" s="5" t="n">
        <v>15</v>
      </c>
      <c r="AP60" s="6">
        <f>AM60/AO60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MATIAS GARZON BARAJAS</t>
        </is>
      </c>
      <c r="E61" s="2" t="inlineStr">
        <is>
          <t>1033811206</t>
        </is>
      </c>
      <c r="F61" s="2" t="n">
        <v>3</v>
      </c>
      <c r="G61" s="2" t="n">
        <v>301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A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5">
        <f>COUNTIF(J61:AL61,"CORRECTO")</f>
        <v/>
      </c>
      <c r="AN61" s="5">
        <f>COUNTIF(J61:AL61,"INCORRECTO")</f>
        <v/>
      </c>
      <c r="AO61" s="5" t="n">
        <v>15</v>
      </c>
      <c r="AP61" s="6">
        <f>AM61/AO61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LUCIANA ABRIL SERNA</t>
        </is>
      </c>
      <c r="E62" s="2" t="inlineStr">
        <is>
          <t>1021693287</t>
        </is>
      </c>
      <c r="F62" s="2" t="n">
        <v>3</v>
      </c>
      <c r="G62" s="2" t="n">
        <v>301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A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5">
        <f>COUNTIF(J62:AL62,"CORRECTO")</f>
        <v/>
      </c>
      <c r="AN62" s="5">
        <f>COUNTIF(J62:AL62,"INCORRECTO")</f>
        <v/>
      </c>
      <c r="AO62" s="5" t="n">
        <v>15</v>
      </c>
      <c r="AP62" s="6">
        <f>AM62/AO62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DAILEN SAMARA HERNANDEZ DUARTE</t>
        </is>
      </c>
      <c r="E63" s="2" t="inlineStr">
        <is>
          <t>1122940004</t>
        </is>
      </c>
      <c r="F63" s="2" t="n">
        <v>3</v>
      </c>
      <c r="G63" s="2" t="n">
        <v>301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A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D</t>
        </is>
      </c>
      <c r="AL63" s="4" t="inlineStr">
        <is>
          <t>INCORRECTO</t>
        </is>
      </c>
      <c r="AM63" s="5">
        <f>COUNTIF(J63:AL63,"CORRECTO")</f>
        <v/>
      </c>
      <c r="AN63" s="5">
        <f>COUNTIF(J63:AL63,"INCORRECTO")</f>
        <v/>
      </c>
      <c r="AO63" s="5" t="n">
        <v>15</v>
      </c>
      <c r="AP63" s="6">
        <f>AM63/AO63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JUAN JOSE COMEZAQUIRA REAY</t>
        </is>
      </c>
      <c r="E64" s="2" t="inlineStr">
        <is>
          <t>1024591713</t>
        </is>
      </c>
      <c r="F64" s="2" t="n">
        <v>3</v>
      </c>
      <c r="G64" s="2" t="n">
        <v>301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4" t="inlineStr">
        <is>
          <t>INCORRECTO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A</t>
        </is>
      </c>
      <c r="AH64" s="3" t="inlineStr">
        <is>
          <t>CORRECTO</t>
        </is>
      </c>
      <c r="AI64" s="2" t="inlineStr">
        <is>
          <t>C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5">
        <f>COUNTIF(J64:AL64,"CORRECTO")</f>
        <v/>
      </c>
      <c r="AN64" s="5">
        <f>COUNTIF(J64:AL64,"INCORRECTO")</f>
        <v/>
      </c>
      <c r="AO64" s="5" t="n">
        <v>15</v>
      </c>
      <c r="AP64" s="6">
        <f>AM64/AO64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MARIA PAULA LEGUIZAMON BUSTOS</t>
        </is>
      </c>
      <c r="E65" s="2" t="inlineStr">
        <is>
          <t>1019767611</t>
        </is>
      </c>
      <c r="F65" s="2" t="n">
        <v>3</v>
      </c>
      <c r="G65" s="2" t="n">
        <v>301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A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5">
        <f>COUNTIF(J65:AL65,"CORRECTO")</f>
        <v/>
      </c>
      <c r="AN65" s="5">
        <f>COUNTIF(J65:AL65,"INCORRECTO")</f>
        <v/>
      </c>
      <c r="AO65" s="5" t="n">
        <v>15</v>
      </c>
      <c r="AP65" s="6">
        <f>AM65/AO65</f>
        <v/>
      </c>
    </row>
    <row r="66">
      <c r="A66" s="2" t="inlineStr">
        <is>
          <t>TRATADO</t>
        </is>
      </c>
      <c r="B66" s="2" t="inlineStr">
        <is>
          <t>111001100013</t>
        </is>
      </c>
      <c r="C66" s="2" t="inlineStr">
        <is>
          <t>COLEGIO BUENAVISTA (IED)</t>
        </is>
      </c>
      <c r="D66" s="2" t="inlineStr">
        <is>
          <t>EMMANUEL NICOLAS SALAMANCA NUÑEZ</t>
        </is>
      </c>
      <c r="E66" s="2" t="inlineStr">
        <is>
          <t>1024597564</t>
        </is>
      </c>
      <c r="F66" s="2" t="n">
        <v>3</v>
      </c>
      <c r="G66" s="2" t="n">
        <v>301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A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5">
        <f>COUNTIF(J66:AL66,"CORRECTO")</f>
        <v/>
      </c>
      <c r="AN66" s="5">
        <f>COUNTIF(J66:AL66,"INCORRECTO")</f>
        <v/>
      </c>
      <c r="AO66" s="5" t="n">
        <v>15</v>
      </c>
      <c r="AP66" s="6">
        <f>AM66/AO66</f>
        <v/>
      </c>
    </row>
    <row r="67">
      <c r="A67" s="2" t="inlineStr">
        <is>
          <t>TRATADO</t>
        </is>
      </c>
      <c r="B67" s="2" t="inlineStr">
        <is>
          <t>111001100013</t>
        </is>
      </c>
      <c r="C67" s="2" t="inlineStr">
        <is>
          <t>COLEGIO BUENAVISTA (IED)</t>
        </is>
      </c>
      <c r="D67" s="2" t="inlineStr">
        <is>
          <t>SARAHI MAITE CUBILLOS VIRGUEZ</t>
        </is>
      </c>
      <c r="E67" s="2" t="inlineStr">
        <is>
          <t>1031184052</t>
        </is>
      </c>
      <c r="F67" s="2" t="n">
        <v>3</v>
      </c>
      <c r="G67" s="2" t="n">
        <v>301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/>
      <c r="AD67" s="4" t="inlineStr">
        <is>
          <t>INCORRECTO</t>
        </is>
      </c>
      <c r="AE67" s="2" t="inlineStr"/>
      <c r="AF67" s="4" t="inlineStr">
        <is>
          <t>INCORRECTO</t>
        </is>
      </c>
      <c r="AG67" s="2" t="inlineStr">
        <is>
          <t>A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5">
        <f>COUNTIF(J67:AL67,"CORRECTO")</f>
        <v/>
      </c>
      <c r="AN67" s="5">
        <f>COUNTIF(J67:AL67,"INCORRECTO")</f>
        <v/>
      </c>
      <c r="AO67" s="5" t="n">
        <v>15</v>
      </c>
      <c r="AP67" s="6">
        <f>AM67/AO67</f>
        <v/>
      </c>
    </row>
    <row r="68">
      <c r="A68" s="2" t="inlineStr">
        <is>
          <t>TRATADO</t>
        </is>
      </c>
      <c r="B68" s="2" t="inlineStr">
        <is>
          <t>111001100013</t>
        </is>
      </c>
      <c r="C68" s="2" t="inlineStr">
        <is>
          <t>COLEGIO BUENAVISTA (IED)</t>
        </is>
      </c>
      <c r="D68" s="2" t="inlineStr">
        <is>
          <t>MATIAS MORA HERNANDEZ</t>
        </is>
      </c>
      <c r="E68" s="2" t="inlineStr">
        <is>
          <t>1029154165</t>
        </is>
      </c>
      <c r="F68" s="2" t="n">
        <v>3</v>
      </c>
      <c r="G68" s="2" t="n">
        <v>301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/>
      <c r="L68" s="4" t="inlineStr">
        <is>
          <t>INCORRECTO</t>
        </is>
      </c>
      <c r="M68" s="2" t="inlineStr"/>
      <c r="N68" s="4" t="inlineStr">
        <is>
          <t>INCORRECTO</t>
        </is>
      </c>
      <c r="O68" s="2" t="inlineStr"/>
      <c r="P68" s="4" t="inlineStr">
        <is>
          <t>INCORRECTO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A</t>
        </is>
      </c>
      <c r="AL68" s="3" t="inlineStr">
        <is>
          <t>CORRECTO</t>
        </is>
      </c>
      <c r="AM68" s="5">
        <f>COUNTIF(J68:AL68,"CORRECTO")</f>
        <v/>
      </c>
      <c r="AN68" s="5">
        <f>COUNTIF(J68:AL68,"INCORRECTO")</f>
        <v/>
      </c>
      <c r="AO68" s="5" t="n">
        <v>15</v>
      </c>
      <c r="AP68" s="6">
        <f>AM68/AO68</f>
        <v/>
      </c>
    </row>
    <row r="69">
      <c r="A69" s="2" t="inlineStr">
        <is>
          <t>TRATADO</t>
        </is>
      </c>
      <c r="B69" s="2" t="inlineStr">
        <is>
          <t>111001100013</t>
        </is>
      </c>
      <c r="C69" s="2" t="inlineStr">
        <is>
          <t>COLEGIO BUENAVISTA (IED)</t>
        </is>
      </c>
      <c r="D69" s="2" t="inlineStr">
        <is>
          <t>ZOHE MARIANA GIL PARRA</t>
        </is>
      </c>
      <c r="E69" s="2" t="inlineStr">
        <is>
          <t>1033812728</t>
        </is>
      </c>
      <c r="F69" s="2" t="n">
        <v>3</v>
      </c>
      <c r="G69" s="2" t="n">
        <v>301</v>
      </c>
      <c r="H69" s="2" t="inlineStr">
        <is>
          <t>LENGUAJE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3" t="inlineStr">
        <is>
          <t>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D</t>
        </is>
      </c>
      <c r="AF69" s="4" t="inlineStr">
        <is>
          <t>INCORRECTO</t>
        </is>
      </c>
      <c r="AG69" s="2" t="inlineStr">
        <is>
          <t>A</t>
        </is>
      </c>
      <c r="AH69" s="3" t="inlineStr">
        <is>
          <t>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5">
        <f>COUNTIF(J69:AL69,"CORRECTO")</f>
        <v/>
      </c>
      <c r="AN69" s="5">
        <f>COUNTIF(J69:AL69,"INCORRECTO")</f>
        <v/>
      </c>
      <c r="AO69" s="5" t="n">
        <v>15</v>
      </c>
      <c r="AP69" s="6">
        <f>AM69/AO69</f>
        <v/>
      </c>
    </row>
    <row r="70">
      <c r="A70" s="2" t="inlineStr">
        <is>
          <t>TRATADO</t>
        </is>
      </c>
      <c r="B70" s="2" t="inlineStr">
        <is>
          <t>111001100013</t>
        </is>
      </c>
      <c r="C70" s="2" t="inlineStr">
        <is>
          <t>COLEGIO BUENAVISTA (IED)</t>
        </is>
      </c>
      <c r="D70" s="2" t="inlineStr">
        <is>
          <t>LAURA SHALOME ROJAS MENDOZA</t>
        </is>
      </c>
      <c r="E70" s="2" t="inlineStr">
        <is>
          <t>1027301667</t>
        </is>
      </c>
      <c r="F70" s="2" t="n">
        <v>3</v>
      </c>
      <c r="G70" s="2" t="n">
        <v>301</v>
      </c>
      <c r="H70" s="2" t="inlineStr">
        <is>
          <t>LENGUAJE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C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C</t>
        </is>
      </c>
      <c r="AL70" s="4" t="inlineStr">
        <is>
          <t>INCORRECTO</t>
        </is>
      </c>
      <c r="AM70" s="5">
        <f>COUNTIF(J70:AL70,"CORRECTO")</f>
        <v/>
      </c>
      <c r="AN70" s="5">
        <f>COUNTIF(J70:AL70,"INCORRECTO")</f>
        <v/>
      </c>
      <c r="AO70" s="5" t="n">
        <v>15</v>
      </c>
      <c r="AP70" s="6">
        <f>AM70/AO70</f>
        <v/>
      </c>
    </row>
    <row r="71">
      <c r="A71" s="2" t="inlineStr">
        <is>
          <t>TRATADO</t>
        </is>
      </c>
      <c r="B71" s="2" t="inlineStr">
        <is>
          <t>111001100013</t>
        </is>
      </c>
      <c r="C71" s="2" t="inlineStr">
        <is>
          <t>COLEGIO BUENAVISTA (IED)</t>
        </is>
      </c>
      <c r="D71" s="2" t="inlineStr">
        <is>
          <t>ANGEL MATHIAS ESPINEL GALEANO</t>
        </is>
      </c>
      <c r="E71" s="2" t="inlineStr">
        <is>
          <t>1025561218</t>
        </is>
      </c>
      <c r="F71" s="2" t="n">
        <v>3</v>
      </c>
      <c r="G71" s="2" t="n">
        <v>301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D</t>
        </is>
      </c>
      <c r="AF71" s="4" t="inlineStr">
        <is>
          <t>INCORRECTO</t>
        </is>
      </c>
      <c r="AG71" s="2" t="inlineStr">
        <is>
          <t>A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5">
        <f>COUNTIF(J71:AL71,"CORRECTO")</f>
        <v/>
      </c>
      <c r="AN71" s="5">
        <f>COUNTIF(J71:AL71,"INCORRECTO")</f>
        <v/>
      </c>
      <c r="AO71" s="5" t="n">
        <v>15</v>
      </c>
      <c r="AP71" s="6">
        <f>AM71/AO71</f>
        <v/>
      </c>
    </row>
    <row r="72">
      <c r="A72" s="2" t="inlineStr">
        <is>
          <t>TRATADO</t>
        </is>
      </c>
      <c r="B72" s="2" t="inlineStr">
        <is>
          <t>111001100013</t>
        </is>
      </c>
      <c r="C72" s="2" t="inlineStr">
        <is>
          <t>COLEGIO BUENAVISTA (IED)</t>
        </is>
      </c>
      <c r="D72" s="2" t="inlineStr">
        <is>
          <t>DANNA VALENTINA SIERRA RAMIREZ</t>
        </is>
      </c>
      <c r="E72" s="2" t="inlineStr">
        <is>
          <t>1033821592</t>
        </is>
      </c>
      <c r="F72" s="2" t="n">
        <v>3</v>
      </c>
      <c r="G72" s="2" t="n">
        <v>301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B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B</t>
        </is>
      </c>
      <c r="Z72" s="3" t="inlineStr">
        <is>
          <t>CORRECTO</t>
        </is>
      </c>
      <c r="AA72" s="2" t="inlineStr">
        <is>
          <t>C</t>
        </is>
      </c>
      <c r="AB72" s="3" t="inlineStr">
        <is>
          <t>CORRECTO</t>
        </is>
      </c>
      <c r="AC72" s="2" t="inlineStr">
        <is>
          <t>D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5">
        <f>COUNTIF(J72:AL72,"CORRECTO")</f>
        <v/>
      </c>
      <c r="AN72" s="5">
        <f>COUNTIF(J72:AL72,"INCORRECTO")</f>
        <v/>
      </c>
      <c r="AO72" s="5" t="n">
        <v>15</v>
      </c>
      <c r="AP72" s="6">
        <f>AM72/AO72</f>
        <v/>
      </c>
    </row>
    <row r="73">
      <c r="A73" s="2" t="inlineStr">
        <is>
          <t>TRATADO</t>
        </is>
      </c>
      <c r="B73" s="2" t="inlineStr">
        <is>
          <t>111001100013</t>
        </is>
      </c>
      <c r="C73" s="2" t="inlineStr">
        <is>
          <t>COLEGIO BUENAVISTA (IED)</t>
        </is>
      </c>
      <c r="D73" s="2" t="inlineStr">
        <is>
          <t>HELLEN SARAY ROJAS CUPITRA</t>
        </is>
      </c>
      <c r="E73" s="2" t="inlineStr">
        <is>
          <t>1027301172</t>
        </is>
      </c>
      <c r="F73" s="2" t="n">
        <v>3</v>
      </c>
      <c r="G73" s="2" t="n">
        <v>301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C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B</t>
        </is>
      </c>
      <c r="AF73" s="3" t="inlineStr">
        <is>
          <t>CORRECTO</t>
        </is>
      </c>
      <c r="AG73" s="2" t="inlineStr">
        <is>
          <t>A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3" t="inlineStr">
        <is>
          <t>CORRECTO</t>
        </is>
      </c>
      <c r="AM73" s="5">
        <f>COUNTIF(J73:AL73,"CORRECTO")</f>
        <v/>
      </c>
      <c r="AN73" s="5">
        <f>COUNTIF(J73:AL73,"INCORRECTO")</f>
        <v/>
      </c>
      <c r="AO73" s="5" t="n">
        <v>15</v>
      </c>
      <c r="AP73" s="6">
        <f>AM73/AO73</f>
        <v/>
      </c>
    </row>
    <row r="74">
      <c r="A74" s="2" t="inlineStr">
        <is>
          <t>TRATADO</t>
        </is>
      </c>
      <c r="B74" s="2" t="inlineStr">
        <is>
          <t>111001100013</t>
        </is>
      </c>
      <c r="C74" s="2" t="inlineStr">
        <is>
          <t>COLEGIO BUENAVISTA (IED)</t>
        </is>
      </c>
      <c r="D74" s="2" t="inlineStr">
        <is>
          <t>EILEM SARAY PEÑA OYOLA</t>
        </is>
      </c>
      <c r="E74" s="2" t="inlineStr">
        <is>
          <t>1075600912</t>
        </is>
      </c>
      <c r="F74" s="2" t="n">
        <v>3</v>
      </c>
      <c r="G74" s="2" t="n">
        <v>301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5">
        <f>COUNTIF(J74:AL74,"CORRECTO")</f>
        <v/>
      </c>
      <c r="AN74" s="5">
        <f>COUNTIF(J74:AL74,"INCORRECTO")</f>
        <v/>
      </c>
      <c r="AO74" s="5" t="n">
        <v>15</v>
      </c>
      <c r="AP74" s="6">
        <f>AM74/AO74</f>
        <v/>
      </c>
    </row>
    <row r="75">
      <c r="A75" s="2" t="inlineStr">
        <is>
          <t>TRATADO</t>
        </is>
      </c>
      <c r="B75" s="2" t="inlineStr">
        <is>
          <t>111001100013</t>
        </is>
      </c>
      <c r="C75" s="2" t="inlineStr">
        <is>
          <t>COLEGIO BUENAVISTA (IED)</t>
        </is>
      </c>
      <c r="D75" s="2" t="inlineStr">
        <is>
          <t>THIAGO ALEJANDRO GARCIA CASTAÑO</t>
        </is>
      </c>
      <c r="E75" s="2" t="inlineStr">
        <is>
          <t>1027538151</t>
        </is>
      </c>
      <c r="F75" s="2" t="n">
        <v>3</v>
      </c>
      <c r="G75" s="2" t="n">
        <v>301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C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C</t>
        </is>
      </c>
      <c r="AB75" s="3" t="inlineStr">
        <is>
          <t>CORRECTO</t>
        </is>
      </c>
      <c r="AC75" s="2" t="inlineStr">
        <is>
          <t>A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A</t>
        </is>
      </c>
      <c r="AH75" s="3" t="inlineStr">
        <is>
          <t>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3" t="inlineStr">
        <is>
          <t>CORRECTO</t>
        </is>
      </c>
      <c r="AM75" s="5">
        <f>COUNTIF(J75:AL75,"CORRECTO")</f>
        <v/>
      </c>
      <c r="AN75" s="5">
        <f>COUNTIF(J75:AL75,"INCORRECTO")</f>
        <v/>
      </c>
      <c r="AO75" s="5" t="n">
        <v>15</v>
      </c>
      <c r="AP75" s="6">
        <f>AM75/AO75</f>
        <v/>
      </c>
    </row>
    <row r="76">
      <c r="A76" s="2" t="inlineStr">
        <is>
          <t>TRATADO</t>
        </is>
      </c>
      <c r="B76" s="2" t="inlineStr">
        <is>
          <t>111001100013</t>
        </is>
      </c>
      <c r="C76" s="2" t="inlineStr">
        <is>
          <t>COLEGIO BUENAVISTA (IED)</t>
        </is>
      </c>
      <c r="D76" s="2" t="inlineStr">
        <is>
          <t>NICOLAS DAVID GOMEZ PACHECO</t>
        </is>
      </c>
      <c r="E76" s="2" t="inlineStr">
        <is>
          <t>1025562445</t>
        </is>
      </c>
      <c r="F76" s="2" t="n">
        <v>3</v>
      </c>
      <c r="G76" s="2" t="n">
        <v>301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D</t>
        </is>
      </c>
      <c r="AH76" s="4" t="inlineStr">
        <is>
          <t>INCORRECTO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B</t>
        </is>
      </c>
      <c r="AL76" s="4" t="inlineStr">
        <is>
          <t>INCORRECTO</t>
        </is>
      </c>
      <c r="AM76" s="5">
        <f>COUNTIF(J76:AL76,"CORRECTO")</f>
        <v/>
      </c>
      <c r="AN76" s="5">
        <f>COUNTIF(J76:AL76,"INCORRECTO")</f>
        <v/>
      </c>
      <c r="AO76" s="5" t="n">
        <v>15</v>
      </c>
      <c r="AP76" s="6">
        <f>AM76/AO76</f>
        <v/>
      </c>
    </row>
    <row r="77">
      <c r="A77" s="2" t="inlineStr">
        <is>
          <t>TRATADO</t>
        </is>
      </c>
      <c r="B77" s="2" t="inlineStr">
        <is>
          <t>111001100013</t>
        </is>
      </c>
      <c r="C77" s="2" t="inlineStr">
        <is>
          <t>COLEGIO BUENAVISTA (IED)</t>
        </is>
      </c>
      <c r="D77" s="2" t="inlineStr">
        <is>
          <t>SAMUEL MATHIAS BEJARANO BERNAL</t>
        </is>
      </c>
      <c r="E77" s="2" t="inlineStr">
        <is>
          <t>1023040531</t>
        </is>
      </c>
      <c r="F77" s="2" t="n">
        <v>3</v>
      </c>
      <c r="G77" s="2" t="n">
        <v>301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C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B</t>
        </is>
      </c>
      <c r="AF77" s="3" t="inlineStr">
        <is>
          <t>CORRECTO</t>
        </is>
      </c>
      <c r="AG77" s="2" t="inlineStr"/>
      <c r="AH77" s="4" t="inlineStr">
        <is>
          <t>INCORRECTO</t>
        </is>
      </c>
      <c r="AI77" s="2" t="inlineStr"/>
      <c r="AJ77" s="4" t="inlineStr">
        <is>
          <t>INCORRECTO</t>
        </is>
      </c>
      <c r="AK77" s="2" t="inlineStr"/>
      <c r="AL77" s="4" t="inlineStr">
        <is>
          <t>INCORRECTO</t>
        </is>
      </c>
      <c r="AM77" s="5">
        <f>COUNTIF(J77:AL77,"CORRECTO")</f>
        <v/>
      </c>
      <c r="AN77" s="5">
        <f>COUNTIF(J77:AL77,"INCORRECTO")</f>
        <v/>
      </c>
      <c r="AO77" s="5" t="n">
        <v>15</v>
      </c>
      <c r="AP77" s="6">
        <f>AM77/AO77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2026-06-24T14:25:04Z</dcterms:created>
  <dcterms:modified xmlns:dcterms="http://purl.org/dc/terms/" xmlns:xsi="http://www.w3.org/2001/XMLSchema-instance" xsi:type="dcterms:W3CDTF">2026-06-24T14:25:04Z</dcterms:modified>
</cp:coreProperties>
</file>