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111001098825</t>
        </is>
      </c>
      <c r="C2" s="2" t="inlineStr">
        <is>
          <t>COLEGIO SAN VICENTE (IED)</t>
        </is>
      </c>
      <c r="D2" s="2" t="inlineStr">
        <is>
          <t>SAMUEL MATHIAS ARIAS CARDONA</t>
        </is>
      </c>
      <c r="E2" s="2" t="inlineStr">
        <is>
          <t>1023977086</t>
        </is>
      </c>
      <c r="F2" s="2" t="n">
        <v>3</v>
      </c>
      <c r="G2" s="2" t="n">
        <v>302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D</t>
        </is>
      </c>
      <c r="N2" s="4" t="inlineStr">
        <is>
          <t>INCORRECTO</t>
        </is>
      </c>
      <c r="O2" s="2" t="inlineStr">
        <is>
          <t>D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111001098825</t>
        </is>
      </c>
      <c r="C3" s="2" t="inlineStr">
        <is>
          <t>COLEGIO SAN VICENTE (IED)</t>
        </is>
      </c>
      <c r="D3" s="2" t="inlineStr">
        <is>
          <t>SAMUEL MATHIAS ARIAS CARDONA</t>
        </is>
      </c>
      <c r="E3" s="2" t="inlineStr">
        <is>
          <t>1023977086</t>
        </is>
      </c>
      <c r="F3" s="2" t="n">
        <v>3</v>
      </c>
      <c r="G3" s="2" t="n">
        <v>302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A</t>
        </is>
      </c>
      <c r="AH3" s="3" t="inlineStr">
        <is>
          <t>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C</t>
        </is>
      </c>
      <c r="AL3" s="4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111001098825</t>
        </is>
      </c>
      <c r="C4" s="2" t="inlineStr">
        <is>
          <t>COLEGIO SAN VICENTE (IED)</t>
        </is>
      </c>
      <c r="D4" s="2" t="inlineStr">
        <is>
          <t>DEIBY SAMUEL R JIMENEZ MOLINA</t>
        </is>
      </c>
      <c r="E4" s="2" t="inlineStr">
        <is>
          <t>1019767557</t>
        </is>
      </c>
      <c r="F4" s="2" t="n">
        <v>3</v>
      </c>
      <c r="G4" s="2" t="n">
        <v>302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B</t>
        </is>
      </c>
      <c r="N4" s="4" t="inlineStr">
        <is>
          <t>INCORRECTO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C</t>
        </is>
      </c>
      <c r="AL4" s="4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111001098825</t>
        </is>
      </c>
      <c r="C5" s="2" t="inlineStr">
        <is>
          <t>COLEGIO SAN VICENTE (IED)</t>
        </is>
      </c>
      <c r="D5" s="2" t="inlineStr">
        <is>
          <t>DEIBY SAMUEL R JIMENEZ MOLINA</t>
        </is>
      </c>
      <c r="E5" s="2" t="inlineStr">
        <is>
          <t>1019767557</t>
        </is>
      </c>
      <c r="F5" s="2" t="n">
        <v>3</v>
      </c>
      <c r="G5" s="2" t="n">
        <v>302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4" t="inlineStr">
        <is>
          <t>INCORRECTO</t>
        </is>
      </c>
      <c r="S5" s="2" t="inlineStr">
        <is>
          <t>D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B</t>
        </is>
      </c>
      <c r="AB5" s="4" t="inlineStr">
        <is>
          <t>INCORRECTO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D</t>
        </is>
      </c>
      <c r="AL5" s="4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111001098825</t>
        </is>
      </c>
      <c r="C6" s="2" t="inlineStr">
        <is>
          <t>COLEGIO SAN VICENTE (IED)</t>
        </is>
      </c>
      <c r="D6" s="2" t="inlineStr">
        <is>
          <t>LUIS MATIAS JIMENEZ CLAVIJO</t>
        </is>
      </c>
      <c r="E6" s="2" t="inlineStr">
        <is>
          <t>1028672413</t>
        </is>
      </c>
      <c r="F6" s="2" t="n">
        <v>3</v>
      </c>
      <c r="G6" s="2" t="n">
        <v>302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D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D</t>
        </is>
      </c>
      <c r="AB6" s="4" t="inlineStr">
        <is>
          <t>INCORRECTO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D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4" t="inlineStr">
        <is>
          <t>INCORRECTO</t>
        </is>
      </c>
      <c r="AK6" s="2" t="inlineStr">
        <is>
          <t>C</t>
        </is>
      </c>
      <c r="AL6" s="4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111001098825</t>
        </is>
      </c>
      <c r="C7" s="2" t="inlineStr">
        <is>
          <t>COLEGIO SAN VICENTE (IED)</t>
        </is>
      </c>
      <c r="D7" s="2" t="inlineStr">
        <is>
          <t>LUIS MATIAS JIMENEZ CLAVIJO</t>
        </is>
      </c>
      <c r="E7" s="2" t="inlineStr">
        <is>
          <t>1028672413</t>
        </is>
      </c>
      <c r="F7" s="2" t="n">
        <v>3</v>
      </c>
      <c r="G7" s="2" t="n">
        <v>302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111001098825</t>
        </is>
      </c>
      <c r="C8" s="2" t="inlineStr">
        <is>
          <t>COLEGIO SAN VICENTE (IED)</t>
        </is>
      </c>
      <c r="D8" s="2" t="inlineStr">
        <is>
          <t>DYLAN IVAN SANCHEZ GUTIERREZ</t>
        </is>
      </c>
      <c r="E8" s="2" t="inlineStr">
        <is>
          <t>1021692422</t>
        </is>
      </c>
      <c r="F8" s="2" t="n">
        <v>3</v>
      </c>
      <c r="G8" s="2" t="n">
        <v>302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D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C</t>
        </is>
      </c>
      <c r="AL8" s="4" t="inlineStr">
        <is>
          <t>INCORRECTO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111001098825</t>
        </is>
      </c>
      <c r="C9" s="2" t="inlineStr">
        <is>
          <t>COLEGIO SAN VICENTE (IED)</t>
        </is>
      </c>
      <c r="D9" s="2" t="inlineStr">
        <is>
          <t>DYLAN IVAN SANCHEZ GUTIERREZ</t>
        </is>
      </c>
      <c r="E9" s="2" t="inlineStr">
        <is>
          <t>1021692422</t>
        </is>
      </c>
      <c r="F9" s="2" t="n">
        <v>3</v>
      </c>
      <c r="G9" s="2" t="n">
        <v>302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D</t>
        </is>
      </c>
      <c r="AH9" s="4" t="inlineStr">
        <is>
          <t>INCORRECTO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111001098825</t>
        </is>
      </c>
      <c r="C10" s="2" t="inlineStr">
        <is>
          <t>COLEGIO SAN VICENTE (IED)</t>
        </is>
      </c>
      <c r="D10" s="2" t="inlineStr">
        <is>
          <t>ANGEL DAVID JURADO ARIZA</t>
        </is>
      </c>
      <c r="E10" s="2" t="inlineStr">
        <is>
          <t>1023980423</t>
        </is>
      </c>
      <c r="F10" s="2" t="n">
        <v>3</v>
      </c>
      <c r="G10" s="2" t="n">
        <v>302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D</t>
        </is>
      </c>
      <c r="P10" s="4" t="inlineStr">
        <is>
          <t>INCORRECTO</t>
        </is>
      </c>
      <c r="Q10" s="2" t="inlineStr">
        <is>
          <t>C</t>
        </is>
      </c>
      <c r="R10" s="4" t="inlineStr">
        <is>
          <t>INCORRECTO</t>
        </is>
      </c>
      <c r="S10" s="2" t="inlineStr">
        <is>
          <t>A</t>
        </is>
      </c>
      <c r="T10" s="4" t="inlineStr">
        <is>
          <t>INCORRECTO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B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111001098825</t>
        </is>
      </c>
      <c r="C11" s="2" t="inlineStr">
        <is>
          <t>COLEGIO SAN VICENTE (IED)</t>
        </is>
      </c>
      <c r="D11" s="2" t="inlineStr">
        <is>
          <t>ANGEL DAVID JURADO ARIZA</t>
        </is>
      </c>
      <c r="E11" s="2" t="inlineStr">
        <is>
          <t>1023980423</t>
        </is>
      </c>
      <c r="F11" s="2" t="n">
        <v>3</v>
      </c>
      <c r="G11" s="2" t="n">
        <v>302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D</t>
        </is>
      </c>
      <c r="AL11" s="4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111001098825</t>
        </is>
      </c>
      <c r="C12" s="2" t="inlineStr">
        <is>
          <t>COLEGIO SAN VICENTE (IED)</t>
        </is>
      </c>
      <c r="D12" s="2" t="inlineStr">
        <is>
          <t>ASHLEY SHARICK CANTILLO PAEZ</t>
        </is>
      </c>
      <c r="E12" s="2" t="inlineStr">
        <is>
          <t>1028672936</t>
        </is>
      </c>
      <c r="F12" s="2" t="n">
        <v>3</v>
      </c>
      <c r="G12" s="2" t="n">
        <v>302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D</t>
        </is>
      </c>
      <c r="P12" s="4" t="inlineStr">
        <is>
          <t>INCORRECTO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A</t>
        </is>
      </c>
      <c r="T12" s="4" t="inlineStr">
        <is>
          <t>INCORRECTO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C</t>
        </is>
      </c>
      <c r="AL12" s="4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111001098825</t>
        </is>
      </c>
      <c r="C13" s="2" t="inlineStr">
        <is>
          <t>COLEGIO SAN VICENTE (IED)</t>
        </is>
      </c>
      <c r="D13" s="2" t="inlineStr">
        <is>
          <t>ASHLEY SHARICK CANTILLO PAEZ</t>
        </is>
      </c>
      <c r="E13" s="2" t="inlineStr">
        <is>
          <t>1028672936</t>
        </is>
      </c>
      <c r="F13" s="2" t="n">
        <v>3</v>
      </c>
      <c r="G13" s="2" t="n">
        <v>302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A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D</t>
        </is>
      </c>
      <c r="AL13" s="4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111001098825</t>
        </is>
      </c>
      <c r="C14" s="2" t="inlineStr">
        <is>
          <t>COLEGIO SAN VICENTE (IED)</t>
        </is>
      </c>
      <c r="D14" s="2" t="inlineStr">
        <is>
          <t>DEIVID DEREK ALVARADO MORA</t>
        </is>
      </c>
      <c r="E14" s="2" t="inlineStr">
        <is>
          <t>1021693648</t>
        </is>
      </c>
      <c r="F14" s="2" t="n">
        <v>3</v>
      </c>
      <c r="G14" s="2" t="n">
        <v>302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A</t>
        </is>
      </c>
      <c r="R14" s="4" t="inlineStr">
        <is>
          <t>INCORRECTO</t>
        </is>
      </c>
      <c r="S14" s="2" t="inlineStr">
        <is>
          <t>D</t>
        </is>
      </c>
      <c r="T14" s="4" t="inlineStr">
        <is>
          <t>INCORRECTO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D</t>
        </is>
      </c>
      <c r="AB14" s="4" t="inlineStr">
        <is>
          <t>INCORRECTO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D</t>
        </is>
      </c>
      <c r="AF14" s="3" t="inlineStr">
        <is>
          <t>CORRECTO</t>
        </is>
      </c>
      <c r="AG14" s="2" t="inlineStr">
        <is>
          <t>D</t>
        </is>
      </c>
      <c r="AH14" s="4" t="inlineStr">
        <is>
          <t>INCORRECTO</t>
        </is>
      </c>
      <c r="AI14" s="2" t="inlineStr">
        <is>
          <t>B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111001098825</t>
        </is>
      </c>
      <c r="C15" s="2" t="inlineStr">
        <is>
          <t>COLEGIO SAN VICENTE (IED)</t>
        </is>
      </c>
      <c r="D15" s="2" t="inlineStr">
        <is>
          <t>DEIVID DEREK ALVARADO MORA</t>
        </is>
      </c>
      <c r="E15" s="2" t="inlineStr">
        <is>
          <t>1021693648</t>
        </is>
      </c>
      <c r="F15" s="2" t="n">
        <v>3</v>
      </c>
      <c r="G15" s="2" t="n">
        <v>302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C</t>
        </is>
      </c>
      <c r="N15" s="4" t="inlineStr">
        <is>
          <t>INCORRECTO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A</t>
        </is>
      </c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B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111001098825</t>
        </is>
      </c>
      <c r="C16" s="2" t="inlineStr">
        <is>
          <t>COLEGIO SAN VICENTE (IED)</t>
        </is>
      </c>
      <c r="D16" s="2" t="inlineStr">
        <is>
          <t>KAROL DAYAN ANGEL TINJACA</t>
        </is>
      </c>
      <c r="E16" s="2" t="inlineStr">
        <is>
          <t>1028672810</t>
        </is>
      </c>
      <c r="F16" s="2" t="n">
        <v>3</v>
      </c>
      <c r="G16" s="2" t="n">
        <v>302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C</t>
        </is>
      </c>
      <c r="AF16" s="4" t="inlineStr">
        <is>
          <t>INCORRECTO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C</t>
        </is>
      </c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111001098825</t>
        </is>
      </c>
      <c r="C17" s="2" t="inlineStr">
        <is>
          <t>COLEGIO SAN VICENTE (IED)</t>
        </is>
      </c>
      <c r="D17" s="2" t="inlineStr">
        <is>
          <t>KAROL DAYAN ANGEL TINJACA</t>
        </is>
      </c>
      <c r="E17" s="2" t="inlineStr">
        <is>
          <t>1028672810</t>
        </is>
      </c>
      <c r="F17" s="2" t="n">
        <v>3</v>
      </c>
      <c r="G17" s="2" t="n">
        <v>302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B</t>
        </is>
      </c>
      <c r="R17" s="4" t="inlineStr">
        <is>
          <t>INCORRECTO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B</t>
        </is>
      </c>
      <c r="AB17" s="4" t="inlineStr">
        <is>
          <t>INCORRECTO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A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111001098825</t>
        </is>
      </c>
      <c r="C18" s="2" t="inlineStr">
        <is>
          <t>COLEGIO SAN VICENTE (IED)</t>
        </is>
      </c>
      <c r="D18" s="2" t="inlineStr">
        <is>
          <t>MATHIAS HERRERA MALDONADO</t>
        </is>
      </c>
      <c r="E18" s="2" t="inlineStr">
        <is>
          <t>1028727913</t>
        </is>
      </c>
      <c r="F18" s="2" t="n">
        <v>3</v>
      </c>
      <c r="G18" s="2" t="n">
        <v>302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111001098825</t>
        </is>
      </c>
      <c r="C19" s="2" t="inlineStr">
        <is>
          <t>COLEGIO SAN VICENTE (IED)</t>
        </is>
      </c>
      <c r="D19" s="2" t="inlineStr">
        <is>
          <t>MATHIAS HERRERA MALDONADO</t>
        </is>
      </c>
      <c r="E19" s="2" t="inlineStr">
        <is>
          <t>1028727913</t>
        </is>
      </c>
      <c r="F19" s="2" t="n">
        <v>3</v>
      </c>
      <c r="G19" s="2" t="n">
        <v>302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A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111001098825</t>
        </is>
      </c>
      <c r="C20" s="2" t="inlineStr">
        <is>
          <t>COLEGIO SAN VICENTE (IED)</t>
        </is>
      </c>
      <c r="D20" s="2" t="inlineStr">
        <is>
          <t>DERECK ESTEBAN RAVELO GIRALDO</t>
        </is>
      </c>
      <c r="E20" s="2" t="inlineStr">
        <is>
          <t>1023979956</t>
        </is>
      </c>
      <c r="F20" s="2" t="n">
        <v>3</v>
      </c>
      <c r="G20" s="2" t="n">
        <v>302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4" t="inlineStr">
        <is>
          <t>INCORRECTO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D</t>
        </is>
      </c>
      <c r="AB20" s="4" t="inlineStr">
        <is>
          <t>INCORRECTO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D</t>
        </is>
      </c>
      <c r="AF20" s="3" t="inlineStr">
        <is>
          <t>CORRECTO</t>
        </is>
      </c>
      <c r="AG20" s="2" t="inlineStr">
        <is>
          <t>A</t>
        </is>
      </c>
      <c r="AH20" s="4" t="inlineStr">
        <is>
          <t>INCORRECTO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C</t>
        </is>
      </c>
      <c r="AL20" s="4" t="inlineStr">
        <is>
          <t>INCORRECTO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111001098825</t>
        </is>
      </c>
      <c r="C21" s="2" t="inlineStr">
        <is>
          <t>COLEGIO SAN VICENTE (IED)</t>
        </is>
      </c>
      <c r="D21" s="2" t="inlineStr">
        <is>
          <t>DERECK ESTEBAN RAVELO GIRALDO</t>
        </is>
      </c>
      <c r="E21" s="2" t="inlineStr">
        <is>
          <t>1023979956</t>
        </is>
      </c>
      <c r="F21" s="2" t="n">
        <v>3</v>
      </c>
      <c r="G21" s="2" t="n">
        <v>302</v>
      </c>
      <c r="H21" s="2" t="inlineStr">
        <is>
          <t>LENGUAJE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B</t>
        </is>
      </c>
      <c r="AB21" s="4" t="inlineStr">
        <is>
          <t>INCORRECTO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A</t>
        </is>
      </c>
      <c r="AF21" s="4" t="inlineStr">
        <is>
          <t>INCORRECTO</t>
        </is>
      </c>
      <c r="AG21" s="2" t="inlineStr">
        <is>
          <t>C</t>
        </is>
      </c>
      <c r="AH21" s="4" t="inlineStr">
        <is>
          <t>INCORRECTO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B</t>
        </is>
      </c>
      <c r="AL21" s="4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111001098825</t>
        </is>
      </c>
      <c r="C22" s="2" t="inlineStr">
        <is>
          <t>COLEGIO SAN VICENTE (IED)</t>
        </is>
      </c>
      <c r="D22" s="2" t="inlineStr">
        <is>
          <t>JUAN STEVAN SANCHEZ CASTRO</t>
        </is>
      </c>
      <c r="E22" s="2" t="inlineStr">
        <is>
          <t>1023977930</t>
        </is>
      </c>
      <c r="F22" s="2" t="n">
        <v>3</v>
      </c>
      <c r="G22" s="2" t="n">
        <v>302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C</t>
        </is>
      </c>
      <c r="R22" s="4" t="inlineStr">
        <is>
          <t>INCORRECTO</t>
        </is>
      </c>
      <c r="S22" s="2" t="inlineStr">
        <is>
          <t>A</t>
        </is>
      </c>
      <c r="T22" s="4" t="inlineStr">
        <is>
          <t>INCORRECTO</t>
        </is>
      </c>
      <c r="U22" s="2" t="inlineStr">
        <is>
          <t>C</t>
        </is>
      </c>
      <c r="V22" s="4" t="inlineStr">
        <is>
          <t>INCORRECTO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B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C</t>
        </is>
      </c>
      <c r="AL22" s="4" t="inlineStr">
        <is>
          <t>INCORRECTO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111001098825</t>
        </is>
      </c>
      <c r="C23" s="2" t="inlineStr">
        <is>
          <t>COLEGIO SAN VICENTE (IED)</t>
        </is>
      </c>
      <c r="D23" s="2" t="inlineStr">
        <is>
          <t>JUAN STEVAN SANCHEZ CASTRO</t>
        </is>
      </c>
      <c r="E23" s="2" t="inlineStr">
        <is>
          <t>1023977930</t>
        </is>
      </c>
      <c r="F23" s="2" t="n">
        <v>3</v>
      </c>
      <c r="G23" s="2" t="n">
        <v>302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D</t>
        </is>
      </c>
      <c r="AD23" s="4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A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111001098825</t>
        </is>
      </c>
      <c r="C24" s="2" t="inlineStr">
        <is>
          <t>COLEGIO SAN VICENTE (IED)</t>
        </is>
      </c>
      <c r="D24" s="2" t="inlineStr">
        <is>
          <t>MARIA JOSE LOPEZ SANCHEZ</t>
        </is>
      </c>
      <c r="E24" s="2" t="inlineStr">
        <is>
          <t>1016744440</t>
        </is>
      </c>
      <c r="F24" s="2" t="n">
        <v>3</v>
      </c>
      <c r="G24" s="2" t="n">
        <v>302</v>
      </c>
      <c r="H24" s="2" t="inlineStr">
        <is>
          <t>MATEMÁTICAS</t>
        </is>
      </c>
      <c r="I24" s="2" t="inlineStr">
        <is>
          <t>C</t>
        </is>
      </c>
      <c r="J24" s="4" t="inlineStr">
        <is>
          <t>INCORRECTO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C</t>
        </is>
      </c>
      <c r="R24" s="4" t="inlineStr">
        <is>
          <t>INCORRECTO</t>
        </is>
      </c>
      <c r="S24" s="2" t="inlineStr">
        <is>
          <t>D</t>
        </is>
      </c>
      <c r="T24" s="4" t="inlineStr">
        <is>
          <t>INCORRECTO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111001098825</t>
        </is>
      </c>
      <c r="C25" s="2" t="inlineStr">
        <is>
          <t>COLEGIO SAN VICENTE (IED)</t>
        </is>
      </c>
      <c r="D25" s="2" t="inlineStr">
        <is>
          <t>MARIA JOSE LOPEZ SANCHEZ</t>
        </is>
      </c>
      <c r="E25" s="2" t="inlineStr">
        <is>
          <t>1016744440</t>
        </is>
      </c>
      <c r="F25" s="2" t="n">
        <v>3</v>
      </c>
      <c r="G25" s="2" t="n">
        <v>302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A</t>
        </is>
      </c>
      <c r="AH25" s="3" t="inlineStr">
        <is>
          <t>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C</t>
        </is>
      </c>
      <c r="AL25" s="4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111001098825</t>
        </is>
      </c>
      <c r="C26" s="2" t="inlineStr">
        <is>
          <t>COLEGIO SAN VICENTE (IED)</t>
        </is>
      </c>
      <c r="D26" s="2" t="inlineStr">
        <is>
          <t>JOEL FERNANDO RODRIGUEZ CUBILLOS</t>
        </is>
      </c>
      <c r="E26" s="2" t="inlineStr">
        <is>
          <t>1016743309</t>
        </is>
      </c>
      <c r="F26" s="2" t="n">
        <v>3</v>
      </c>
      <c r="G26" s="2" t="n">
        <v>302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A</t>
        </is>
      </c>
      <c r="R26" s="4" t="inlineStr">
        <is>
          <t>INCORRECTO</t>
        </is>
      </c>
      <c r="S26" s="2" t="inlineStr">
        <is>
          <t>B</t>
        </is>
      </c>
      <c r="T26" s="4" t="inlineStr">
        <is>
          <t>INCORRECTO</t>
        </is>
      </c>
      <c r="U26" s="2" t="inlineStr">
        <is>
          <t>D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D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C</t>
        </is>
      </c>
      <c r="AL26" s="4" t="inlineStr">
        <is>
          <t>INCORRECTO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111001098825</t>
        </is>
      </c>
      <c r="C27" s="2" t="inlineStr">
        <is>
          <t>COLEGIO SAN VICENTE (IED)</t>
        </is>
      </c>
      <c r="D27" s="2" t="inlineStr">
        <is>
          <t>JOEL FERNANDO RODRIGUEZ CUBILLOS</t>
        </is>
      </c>
      <c r="E27" s="2" t="inlineStr">
        <is>
          <t>1016743309</t>
        </is>
      </c>
      <c r="F27" s="2" t="n">
        <v>3</v>
      </c>
      <c r="G27" s="2" t="n">
        <v>302</v>
      </c>
      <c r="H27" s="2" t="inlineStr">
        <is>
          <t>LENGUAJE</t>
        </is>
      </c>
      <c r="I27" s="2" t="inlineStr">
        <is>
          <t>A</t>
        </is>
      </c>
      <c r="J27" s="4" t="inlineStr">
        <is>
          <t>INCORRECTO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B</t>
        </is>
      </c>
      <c r="AL27" s="4" t="inlineStr">
        <is>
          <t>INCORRECTO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111001098825</t>
        </is>
      </c>
      <c r="C28" s="2" t="inlineStr">
        <is>
          <t>COLEGIO SAN VICENTE (IED)</t>
        </is>
      </c>
      <c r="D28" s="2" t="inlineStr">
        <is>
          <t>SAMUEL JIMENEZ PIÑEROS</t>
        </is>
      </c>
      <c r="E28" s="2" t="inlineStr">
        <is>
          <t>1023977864</t>
        </is>
      </c>
      <c r="F28" s="2" t="n">
        <v>3</v>
      </c>
      <c r="G28" s="2" t="n">
        <v>302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D</t>
        </is>
      </c>
      <c r="P28" s="4" t="inlineStr">
        <is>
          <t>INCORRECTO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A</t>
        </is>
      </c>
      <c r="T28" s="4" t="inlineStr">
        <is>
          <t>INCORRECTO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B</t>
        </is>
      </c>
      <c r="Z28" s="4" t="inlineStr">
        <is>
          <t>INCORRECTO</t>
        </is>
      </c>
      <c r="AA28" s="2" t="inlineStr">
        <is>
          <t>B</t>
        </is>
      </c>
      <c r="AB28" s="4" t="inlineStr">
        <is>
          <t>INCORRECTO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B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C</t>
        </is>
      </c>
      <c r="AJ28" s="4" t="inlineStr">
        <is>
          <t>INCORRECTO</t>
        </is>
      </c>
      <c r="AK28" s="2" t="inlineStr">
        <is>
          <t>C</t>
        </is>
      </c>
      <c r="AL28" s="4" t="inlineStr">
        <is>
          <t>INCORRECTO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111001098825</t>
        </is>
      </c>
      <c r="C29" s="2" t="inlineStr">
        <is>
          <t>COLEGIO SAN VICENTE (IED)</t>
        </is>
      </c>
      <c r="D29" s="2" t="inlineStr">
        <is>
          <t>SAMUEL JIMENEZ PIÑEROS</t>
        </is>
      </c>
      <c r="E29" s="2" t="inlineStr">
        <is>
          <t>1023977864</t>
        </is>
      </c>
      <c r="F29" s="2" t="n">
        <v>3</v>
      </c>
      <c r="G29" s="2" t="n">
        <v>302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A</t>
        </is>
      </c>
      <c r="P29" s="4" t="inlineStr">
        <is>
          <t>INCORRECTO</t>
        </is>
      </c>
      <c r="Q29" s="2" t="inlineStr">
        <is>
          <t>B</t>
        </is>
      </c>
      <c r="R29" s="4" t="inlineStr">
        <is>
          <t>INCORRECTO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A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111001098825</t>
        </is>
      </c>
      <c r="C30" s="2" t="inlineStr">
        <is>
          <t>COLEGIO SAN VICENTE (IED)</t>
        </is>
      </c>
      <c r="D30" s="2" t="inlineStr">
        <is>
          <t>ERICK MATIAS BUSTOS DUARTE</t>
        </is>
      </c>
      <c r="E30" s="2" t="inlineStr">
        <is>
          <t>1016744032</t>
        </is>
      </c>
      <c r="F30" s="2" t="n">
        <v>3</v>
      </c>
      <c r="G30" s="2" t="n">
        <v>302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A</t>
        </is>
      </c>
      <c r="R30" s="4" t="inlineStr">
        <is>
          <t>INCORRECTO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111001098825</t>
        </is>
      </c>
      <c r="C31" s="2" t="inlineStr">
        <is>
          <t>COLEGIO SAN VICENTE (IED)</t>
        </is>
      </c>
      <c r="D31" s="2" t="inlineStr">
        <is>
          <t>ERICK MATIAS BUSTOS DUARTE</t>
        </is>
      </c>
      <c r="E31" s="2" t="inlineStr">
        <is>
          <t>1016744032</t>
        </is>
      </c>
      <c r="F31" s="2" t="n">
        <v>3</v>
      </c>
      <c r="G31" s="2" t="n">
        <v>302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A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111001098825</t>
        </is>
      </c>
      <c r="C32" s="2" t="inlineStr">
        <is>
          <t>COLEGIO SAN VICENTE (IED)</t>
        </is>
      </c>
      <c r="D32" s="2" t="inlineStr">
        <is>
          <t>MARTIN SALAS RAMIREZ</t>
        </is>
      </c>
      <c r="E32" s="2" t="inlineStr">
        <is>
          <t>1016743224</t>
        </is>
      </c>
      <c r="F32" s="2" t="n">
        <v>3</v>
      </c>
      <c r="G32" s="2" t="n">
        <v>302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D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C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111001098825</t>
        </is>
      </c>
      <c r="C33" s="2" t="inlineStr">
        <is>
          <t>COLEGIO SAN VICENTE (IED)</t>
        </is>
      </c>
      <c r="D33" s="2" t="inlineStr">
        <is>
          <t>MARTIN SALAS RAMIREZ</t>
        </is>
      </c>
      <c r="E33" s="2" t="inlineStr">
        <is>
          <t>1016743224</t>
        </is>
      </c>
      <c r="F33" s="2" t="n">
        <v>3</v>
      </c>
      <c r="G33" s="2" t="n">
        <v>302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A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111001098825</t>
        </is>
      </c>
      <c r="C34" s="2" t="inlineStr">
        <is>
          <t>COLEGIO SAN VICENTE (IED)</t>
        </is>
      </c>
      <c r="D34" s="2" t="inlineStr">
        <is>
          <t>VAIOLET CELESTE CASTAÑEDA CAMACHO</t>
        </is>
      </c>
      <c r="E34" s="2" t="inlineStr">
        <is>
          <t>1021692919</t>
        </is>
      </c>
      <c r="F34" s="2" t="n">
        <v>3</v>
      </c>
      <c r="G34" s="2" t="n">
        <v>302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111001098825</t>
        </is>
      </c>
      <c r="C35" s="2" t="inlineStr">
        <is>
          <t>COLEGIO SAN VICENTE (IED)</t>
        </is>
      </c>
      <c r="D35" s="2" t="inlineStr">
        <is>
          <t>VAIOLET CELESTE CASTAÑEDA CAMACHO</t>
        </is>
      </c>
      <c r="E35" s="2" t="inlineStr">
        <is>
          <t>1021692919</t>
        </is>
      </c>
      <c r="F35" s="2" t="n">
        <v>3</v>
      </c>
      <c r="G35" s="2" t="n">
        <v>302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A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111001098825</t>
        </is>
      </c>
      <c r="C36" s="2" t="inlineStr">
        <is>
          <t>COLEGIO SAN VICENTE (IED)</t>
        </is>
      </c>
      <c r="D36" s="2" t="inlineStr">
        <is>
          <t>TOMAS JERONIMO PORRAS VARGAS</t>
        </is>
      </c>
      <c r="E36" s="2" t="inlineStr">
        <is>
          <t>1016742870</t>
        </is>
      </c>
      <c r="F36" s="2" t="n">
        <v>3</v>
      </c>
      <c r="G36" s="2" t="n">
        <v>302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A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111001098825</t>
        </is>
      </c>
      <c r="C37" s="2" t="inlineStr">
        <is>
          <t>COLEGIO SAN VICENTE (IED)</t>
        </is>
      </c>
      <c r="D37" s="2" t="inlineStr">
        <is>
          <t>TOMAS JERONIMO PORRAS VARGAS</t>
        </is>
      </c>
      <c r="E37" s="2" t="inlineStr">
        <is>
          <t>1016742870</t>
        </is>
      </c>
      <c r="F37" s="2" t="n">
        <v>3</v>
      </c>
      <c r="G37" s="2" t="n">
        <v>302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A</t>
        </is>
      </c>
      <c r="AH37" s="3" t="inlineStr">
        <is>
          <t>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111001098825</t>
        </is>
      </c>
      <c r="C38" s="2" t="inlineStr">
        <is>
          <t>COLEGIO SAN VICENTE (IED)</t>
        </is>
      </c>
      <c r="D38" s="2" t="inlineStr">
        <is>
          <t>CRISTIAN DAVID TIQUE GUTIERREZ</t>
        </is>
      </c>
      <c r="E38" s="2" t="inlineStr">
        <is>
          <t>1010246422</t>
        </is>
      </c>
      <c r="F38" s="2" t="n">
        <v>3</v>
      </c>
      <c r="G38" s="2" t="n">
        <v>302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111001098825</t>
        </is>
      </c>
      <c r="C39" s="2" t="inlineStr">
        <is>
          <t>COLEGIO SAN VICENTE (IED)</t>
        </is>
      </c>
      <c r="D39" s="2" t="inlineStr">
        <is>
          <t>CRISTIAN DAVID TIQUE GUTIERREZ</t>
        </is>
      </c>
      <c r="E39" s="2" t="inlineStr">
        <is>
          <t>1010246422</t>
        </is>
      </c>
      <c r="F39" s="2" t="n">
        <v>3</v>
      </c>
      <c r="G39" s="2" t="n">
        <v>302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A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111001098825</t>
        </is>
      </c>
      <c r="C40" s="2" t="inlineStr">
        <is>
          <t>COLEGIO SAN VICENTE (IED)</t>
        </is>
      </c>
      <c r="D40" s="2" t="inlineStr">
        <is>
          <t>GABRIELA SIERRA PANCHE</t>
        </is>
      </c>
      <c r="E40" s="2" t="inlineStr">
        <is>
          <t>1222217276</t>
        </is>
      </c>
      <c r="F40" s="2" t="n">
        <v>3</v>
      </c>
      <c r="G40" s="2" t="n">
        <v>302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/>
      <c r="T40" s="4" t="inlineStr">
        <is>
          <t>INCORRECTO</t>
        </is>
      </c>
      <c r="U40" s="2" t="inlineStr">
        <is>
          <t>D</t>
        </is>
      </c>
      <c r="V40" s="4" t="inlineStr">
        <is>
          <t>INCORRECTO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111001098825</t>
        </is>
      </c>
      <c r="C41" s="2" t="inlineStr">
        <is>
          <t>COLEGIO SAN VICENTE (IED)</t>
        </is>
      </c>
      <c r="D41" s="2" t="inlineStr">
        <is>
          <t>GABRIELA SIERRA PANCHE</t>
        </is>
      </c>
      <c r="E41" s="2" t="inlineStr">
        <is>
          <t>1222217276</t>
        </is>
      </c>
      <c r="F41" s="2" t="n">
        <v>3</v>
      </c>
      <c r="G41" s="2" t="n">
        <v>302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111001098825</t>
        </is>
      </c>
      <c r="C42" s="2" t="inlineStr">
        <is>
          <t>COLEGIO SAN VICENTE (IED)</t>
        </is>
      </c>
      <c r="D42" s="2" t="inlineStr">
        <is>
          <t>LIAM STIVEN LOPEZ CHINCHILLA</t>
        </is>
      </c>
      <c r="E42" s="2" t="inlineStr">
        <is>
          <t>1220225648</t>
        </is>
      </c>
      <c r="F42" s="2" t="n">
        <v>3</v>
      </c>
      <c r="G42" s="2" t="n">
        <v>302</v>
      </c>
      <c r="H42" s="2" t="inlineStr">
        <is>
          <t>MATEMÁTICAS</t>
        </is>
      </c>
      <c r="I42" s="2" t="inlineStr">
        <is>
          <t>D</t>
        </is>
      </c>
      <c r="J42" s="3" t="inlineStr">
        <is>
          <t>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D</t>
        </is>
      </c>
      <c r="P42" s="4" t="inlineStr">
        <is>
          <t>INCORRECTO</t>
        </is>
      </c>
      <c r="Q42" s="2" t="inlineStr">
        <is>
          <t>C</t>
        </is>
      </c>
      <c r="R42" s="4" t="inlineStr">
        <is>
          <t>INCORRECTO</t>
        </is>
      </c>
      <c r="S42" s="2" t="inlineStr">
        <is>
          <t>A</t>
        </is>
      </c>
      <c r="T42" s="4" t="inlineStr">
        <is>
          <t>INCORRECTO</t>
        </is>
      </c>
      <c r="U42" s="2" t="inlineStr">
        <is>
          <t>D</t>
        </is>
      </c>
      <c r="V42" s="4" t="inlineStr">
        <is>
          <t>INCORRECTO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D</t>
        </is>
      </c>
      <c r="AJ42" s="3" t="inlineStr">
        <is>
          <t>CORRECTO</t>
        </is>
      </c>
      <c r="AK42" s="2" t="inlineStr">
        <is>
          <t>D</t>
        </is>
      </c>
      <c r="AL42" s="4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111001098825</t>
        </is>
      </c>
      <c r="C43" s="2" t="inlineStr">
        <is>
          <t>COLEGIO SAN VICENTE (IED)</t>
        </is>
      </c>
      <c r="D43" s="2" t="inlineStr">
        <is>
          <t>LIAM STIVEN LOPEZ CHINCHILLA</t>
        </is>
      </c>
      <c r="E43" s="2" t="inlineStr">
        <is>
          <t>1220225648</t>
        </is>
      </c>
      <c r="F43" s="2" t="n">
        <v>3</v>
      </c>
      <c r="G43" s="2" t="n">
        <v>302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C</t>
        </is>
      </c>
      <c r="AJ43" s="4" t="inlineStr">
        <is>
          <t>INCORRECTO</t>
        </is>
      </c>
      <c r="AK43" s="2" t="inlineStr">
        <is>
          <t>A</t>
        </is>
      </c>
      <c r="AL43" s="3" t="inlineStr">
        <is>
          <t>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111001098825</t>
        </is>
      </c>
      <c r="C44" s="2" t="inlineStr">
        <is>
          <t>COLEGIO SAN VICENTE (IED)</t>
        </is>
      </c>
      <c r="D44" s="2" t="inlineStr">
        <is>
          <t>MARIA JOSE PATARROYO ACERO</t>
        </is>
      </c>
      <c r="E44" s="2" t="inlineStr">
        <is>
          <t>1021692975</t>
        </is>
      </c>
      <c r="F44" s="2" t="n">
        <v>3</v>
      </c>
      <c r="G44" s="2" t="n">
        <v>302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C</t>
        </is>
      </c>
      <c r="V44" s="4" t="inlineStr">
        <is>
          <t>INCORRECTO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D</t>
        </is>
      </c>
      <c r="Z44" s="4" t="inlineStr">
        <is>
          <t>INCORRECTO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3" t="inlineStr">
        <is>
          <t>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3" t="inlineStr">
        <is>
          <t>CORRECTO</t>
        </is>
      </c>
      <c r="AK44" s="2" t="inlineStr">
        <is>
          <t>A</t>
        </is>
      </c>
      <c r="AL44" s="3" t="inlineStr">
        <is>
          <t>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111001098825</t>
        </is>
      </c>
      <c r="C45" s="2" t="inlineStr">
        <is>
          <t>COLEGIO SAN VICENTE (IED)</t>
        </is>
      </c>
      <c r="D45" s="2" t="inlineStr">
        <is>
          <t>MARIA JOSE PATARROYO ACERO</t>
        </is>
      </c>
      <c r="E45" s="2" t="inlineStr">
        <is>
          <t>1021692975</t>
        </is>
      </c>
      <c r="F45" s="2" t="n">
        <v>3</v>
      </c>
      <c r="G45" s="2" t="n">
        <v>302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A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D</t>
        </is>
      </c>
      <c r="AL45" s="4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111001098825</t>
        </is>
      </c>
      <c r="C46" s="2" t="inlineStr">
        <is>
          <t>COLEGIO SAN VICENTE (IED)</t>
        </is>
      </c>
      <c r="D46" s="2" t="inlineStr">
        <is>
          <t>SAMANTHA URIMAR APONTE HEREDIA</t>
        </is>
      </c>
      <c r="E46" s="2" t="inlineStr">
        <is>
          <t>1030042605</t>
        </is>
      </c>
      <c r="F46" s="2" t="n">
        <v>3</v>
      </c>
      <c r="G46" s="2" t="n">
        <v>302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A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B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D</t>
        </is>
      </c>
      <c r="AD46" s="3" t="inlineStr">
        <is>
          <t>CORRECTO</t>
        </is>
      </c>
      <c r="AE46" s="2" t="inlineStr">
        <is>
          <t>D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D</t>
        </is>
      </c>
      <c r="AJ46" s="3" t="inlineStr">
        <is>
          <t>CORRECTO</t>
        </is>
      </c>
      <c r="AK46" s="2" t="inlineStr">
        <is>
          <t>C</t>
        </is>
      </c>
      <c r="AL46" s="4" t="inlineStr">
        <is>
          <t>INCORRECTO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111001098825</t>
        </is>
      </c>
      <c r="C47" s="2" t="inlineStr">
        <is>
          <t>COLEGIO SAN VICENTE (IED)</t>
        </is>
      </c>
      <c r="D47" s="2" t="inlineStr">
        <is>
          <t>SAMANTHA URIMAR APONTE HEREDIA</t>
        </is>
      </c>
      <c r="E47" s="2" t="inlineStr">
        <is>
          <t>1030042605</t>
        </is>
      </c>
      <c r="F47" s="2" t="n">
        <v>3</v>
      </c>
      <c r="G47" s="2" t="n">
        <v>302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D</t>
        </is>
      </c>
      <c r="L47" s="4" t="inlineStr">
        <is>
          <t>INCORRECTO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C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111001098825</t>
        </is>
      </c>
      <c r="C48" s="2" t="inlineStr">
        <is>
          <t>COLEGIO SAN VICENTE (IED)</t>
        </is>
      </c>
      <c r="D48" s="2" t="inlineStr">
        <is>
          <t>JUAN DAVID FONSECA VILLAFAÑE</t>
        </is>
      </c>
      <c r="E48" s="2" t="inlineStr">
        <is>
          <t>1023978029</t>
        </is>
      </c>
      <c r="F48" s="2" t="n">
        <v>3</v>
      </c>
      <c r="G48" s="2" t="n">
        <v>302</v>
      </c>
      <c r="H48" s="2" t="inlineStr">
        <is>
          <t>MATEMÁTICAS</t>
        </is>
      </c>
      <c r="I48" s="2" t="inlineStr">
        <is>
          <t>D</t>
        </is>
      </c>
      <c r="J48" s="3" t="inlineStr">
        <is>
          <t>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D</t>
        </is>
      </c>
      <c r="AD48" s="3" t="inlineStr">
        <is>
          <t>CORRECTO</t>
        </is>
      </c>
      <c r="AE48" s="2" t="inlineStr">
        <is>
          <t>D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D</t>
        </is>
      </c>
      <c r="AJ48" s="3" t="inlineStr">
        <is>
          <t>CORRECTO</t>
        </is>
      </c>
      <c r="AK48" s="2" t="inlineStr">
        <is>
          <t>A</t>
        </is>
      </c>
      <c r="AL48" s="3" t="inlineStr">
        <is>
          <t>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111001098825</t>
        </is>
      </c>
      <c r="C49" s="2" t="inlineStr">
        <is>
          <t>COLEGIO SAN VICENTE (IED)</t>
        </is>
      </c>
      <c r="D49" s="2" t="inlineStr">
        <is>
          <t>JUAN DAVID FONSECA VILLAFAÑE</t>
        </is>
      </c>
      <c r="E49" s="2" t="inlineStr">
        <is>
          <t>1023978029</t>
        </is>
      </c>
      <c r="F49" s="2" t="n">
        <v>3</v>
      </c>
      <c r="G49" s="2" t="n">
        <v>302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C</t>
        </is>
      </c>
      <c r="AH49" s="4" t="inlineStr">
        <is>
          <t>INCORRECTO</t>
        </is>
      </c>
      <c r="AI49" s="2" t="inlineStr">
        <is>
          <t>A</t>
        </is>
      </c>
      <c r="AJ49" s="4" t="inlineStr">
        <is>
          <t>INCORRECTO</t>
        </is>
      </c>
      <c r="AK49" s="2" t="inlineStr">
        <is>
          <t>D</t>
        </is>
      </c>
      <c r="AL49" s="4" t="inlineStr">
        <is>
          <t>INCORRECTO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111001098825</t>
        </is>
      </c>
      <c r="C50" s="2" t="inlineStr">
        <is>
          <t>COLEGIO SAN VICENTE (IED)</t>
        </is>
      </c>
      <c r="D50" s="2" t="inlineStr">
        <is>
          <t>DOMINICK SAMUEL SIRANISICUA MARTINEZ</t>
        </is>
      </c>
      <c r="E50" s="2" t="inlineStr">
        <is>
          <t>1023976295</t>
        </is>
      </c>
      <c r="F50" s="2" t="n">
        <v>3</v>
      </c>
      <c r="G50" s="2" t="n">
        <v>302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CORRECTO</t>
        </is>
      </c>
      <c r="K50" s="2" t="inlineStr">
        <is>
          <t>A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D</t>
        </is>
      </c>
      <c r="AD50" s="3" t="inlineStr">
        <is>
          <t>CORRECTO</t>
        </is>
      </c>
      <c r="AE50" s="2" t="inlineStr">
        <is>
          <t>D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D</t>
        </is>
      </c>
      <c r="AJ50" s="3" t="inlineStr">
        <is>
          <t>CORRECTO</t>
        </is>
      </c>
      <c r="AK50" s="2" t="inlineStr">
        <is>
          <t>A</t>
        </is>
      </c>
      <c r="AL50" s="3" t="inlineStr">
        <is>
          <t>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111001098825</t>
        </is>
      </c>
      <c r="C51" s="2" t="inlineStr">
        <is>
          <t>COLEGIO SAN VICENTE (IED)</t>
        </is>
      </c>
      <c r="D51" s="2" t="inlineStr">
        <is>
          <t>DOMINICK SAMUEL SIRANISICUA MARTINEZ</t>
        </is>
      </c>
      <c r="E51" s="2" t="inlineStr">
        <is>
          <t>1023976295</t>
        </is>
      </c>
      <c r="F51" s="2" t="n">
        <v>3</v>
      </c>
      <c r="G51" s="2" t="n">
        <v>302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C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A</t>
        </is>
      </c>
      <c r="AL51" s="3" t="inlineStr">
        <is>
          <t>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111001098825</t>
        </is>
      </c>
      <c r="C52" s="2" t="inlineStr">
        <is>
          <t>COLEGIO SAN VICENTE (IED)</t>
        </is>
      </c>
      <c r="D52" s="2" t="inlineStr">
        <is>
          <t>DAMIAN STEVEN PEREZ TAPIA</t>
        </is>
      </c>
      <c r="E52" s="2" t="inlineStr">
        <is>
          <t>1206223076</t>
        </is>
      </c>
      <c r="F52" s="2" t="n">
        <v>3</v>
      </c>
      <c r="G52" s="2" t="n">
        <v>302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A</t>
        </is>
      </c>
      <c r="P52" s="4" t="inlineStr">
        <is>
          <t>INCORRECTO</t>
        </is>
      </c>
      <c r="Q52" s="2" t="inlineStr">
        <is>
          <t>C</t>
        </is>
      </c>
      <c r="R52" s="4" t="inlineStr">
        <is>
          <t>INCORRECTO</t>
        </is>
      </c>
      <c r="S52" s="2" t="inlineStr">
        <is>
          <t>A</t>
        </is>
      </c>
      <c r="T52" s="4" t="inlineStr">
        <is>
          <t>INCORRECTO</t>
        </is>
      </c>
      <c r="U52" s="2" t="inlineStr">
        <is>
          <t>A</t>
        </is>
      </c>
      <c r="V52" s="4" t="inlineStr">
        <is>
          <t>INCORRECTO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D</t>
        </is>
      </c>
      <c r="AD52" s="3" t="inlineStr">
        <is>
          <t>CORRECTO</t>
        </is>
      </c>
      <c r="AE52" s="2" t="inlineStr">
        <is>
          <t>C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D</t>
        </is>
      </c>
      <c r="AJ52" s="3" t="inlineStr">
        <is>
          <t>CORRECTO</t>
        </is>
      </c>
      <c r="AK52" s="2" t="inlineStr">
        <is>
          <t>A</t>
        </is>
      </c>
      <c r="AL52" s="3" t="inlineStr">
        <is>
          <t>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111001098825</t>
        </is>
      </c>
      <c r="C53" s="2" t="inlineStr">
        <is>
          <t>COLEGIO SAN VICENTE (IED)</t>
        </is>
      </c>
      <c r="D53" s="2" t="inlineStr">
        <is>
          <t>DAMIAN STEVEN PEREZ TAPIA</t>
        </is>
      </c>
      <c r="E53" s="2" t="inlineStr">
        <is>
          <t>1206223076</t>
        </is>
      </c>
      <c r="F53" s="2" t="n">
        <v>3</v>
      </c>
      <c r="G53" s="2" t="n">
        <v>302</v>
      </c>
      <c r="H53" s="2" t="inlineStr">
        <is>
          <t>LENGUAJE</t>
        </is>
      </c>
      <c r="I53" s="2" t="inlineStr">
        <is>
          <t>A</t>
        </is>
      </c>
      <c r="J53" s="4" t="inlineStr">
        <is>
          <t>INCORRECTO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A</t>
        </is>
      </c>
      <c r="N53" s="4" t="inlineStr">
        <is>
          <t>INCORRECTO</t>
        </is>
      </c>
      <c r="O53" s="2" t="inlineStr">
        <is>
          <t>D</t>
        </is>
      </c>
      <c r="P53" s="4" t="inlineStr">
        <is>
          <t>INCORRECTO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C</t>
        </is>
      </c>
      <c r="AH53" s="4" t="inlineStr">
        <is>
          <t>INCORRECTO</t>
        </is>
      </c>
      <c r="AI53" s="2" t="inlineStr">
        <is>
          <t>D</t>
        </is>
      </c>
      <c r="AJ53" s="4" t="inlineStr">
        <is>
          <t>INCORRECTO</t>
        </is>
      </c>
      <c r="AK53" s="2" t="inlineStr">
        <is>
          <t>B</t>
        </is>
      </c>
      <c r="AL53" s="4" t="inlineStr">
        <is>
          <t>INCORRECTO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111001098825</t>
        </is>
      </c>
      <c r="C54" s="2" t="inlineStr">
        <is>
          <t>COLEGIO SAN VICENTE (IED)</t>
        </is>
      </c>
      <c r="D54" s="2" t="inlineStr">
        <is>
          <t>LUNA GABRIELA LANCHEROS PAITEKUDO</t>
        </is>
      </c>
      <c r="E54" s="2" t="inlineStr">
        <is>
          <t>1023980523</t>
        </is>
      </c>
      <c r="F54" s="2" t="n">
        <v>3</v>
      </c>
      <c r="G54" s="2" t="n">
        <v>302</v>
      </c>
      <c r="H54" s="2" t="inlineStr">
        <is>
          <t>MATEMÁTICAS</t>
        </is>
      </c>
      <c r="I54" s="2" t="inlineStr">
        <is>
          <t>D</t>
        </is>
      </c>
      <c r="J54" s="3" t="inlineStr">
        <is>
          <t>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A</t>
        </is>
      </c>
      <c r="N54" s="4" t="inlineStr">
        <is>
          <t>INCORRECTO</t>
        </is>
      </c>
      <c r="O54" s="2" t="inlineStr">
        <is>
          <t>B</t>
        </is>
      </c>
      <c r="P54" s="4" t="inlineStr">
        <is>
          <t>INCORRECTO</t>
        </is>
      </c>
      <c r="Q54" s="2" t="inlineStr">
        <is>
          <t>A</t>
        </is>
      </c>
      <c r="R54" s="4" t="inlineStr">
        <is>
          <t>INCORRECTO</t>
        </is>
      </c>
      <c r="S54" s="2" t="inlineStr">
        <is>
          <t>A</t>
        </is>
      </c>
      <c r="T54" s="4" t="inlineStr">
        <is>
          <t>INCORRECTO</t>
        </is>
      </c>
      <c r="U54" s="2" t="inlineStr">
        <is>
          <t>C</t>
        </is>
      </c>
      <c r="V54" s="4" t="inlineStr">
        <is>
          <t>INCORRECTO</t>
        </is>
      </c>
      <c r="W54" s="2" t="inlineStr">
        <is>
          <t>C</t>
        </is>
      </c>
      <c r="X54" s="4" t="inlineStr">
        <is>
          <t>INCORRECTO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B</t>
        </is>
      </c>
      <c r="AB54" s="4" t="inlineStr">
        <is>
          <t>INCORRECTO</t>
        </is>
      </c>
      <c r="AC54" s="2" t="inlineStr">
        <is>
          <t>D</t>
        </is>
      </c>
      <c r="AD54" s="3" t="inlineStr">
        <is>
          <t>CORRECTO</t>
        </is>
      </c>
      <c r="AE54" s="2" t="inlineStr">
        <is>
          <t>C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D</t>
        </is>
      </c>
      <c r="AJ54" s="3" t="inlineStr">
        <is>
          <t>CORRECTO</t>
        </is>
      </c>
      <c r="AK54" s="2" t="inlineStr">
        <is>
          <t>B</t>
        </is>
      </c>
      <c r="AL54" s="4" t="inlineStr">
        <is>
          <t>INCORRECTO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111001098825</t>
        </is>
      </c>
      <c r="C55" s="2" t="inlineStr">
        <is>
          <t>COLEGIO SAN VICENTE (IED)</t>
        </is>
      </c>
      <c r="D55" s="2" t="inlineStr">
        <is>
          <t>LUNA GABRIELA LANCHEROS PAITEKUDO</t>
        </is>
      </c>
      <c r="E55" s="2" t="inlineStr">
        <is>
          <t>1023980523</t>
        </is>
      </c>
      <c r="F55" s="2" t="n">
        <v>3</v>
      </c>
      <c r="G55" s="2" t="n">
        <v>302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D</t>
        </is>
      </c>
      <c r="AD55" s="4" t="inlineStr">
        <is>
          <t>INCORRECTO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A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B</t>
        </is>
      </c>
      <c r="AL55" s="4" t="inlineStr">
        <is>
          <t>INCORRECTO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111001098825</t>
        </is>
      </c>
      <c r="C56" s="2" t="inlineStr">
        <is>
          <t>COLEGIO SAN VICENTE (IED)</t>
        </is>
      </c>
      <c r="D56" s="2" t="inlineStr">
        <is>
          <t>MAILY SAMARA MORA SUAREZ</t>
        </is>
      </c>
      <c r="E56" s="2" t="inlineStr">
        <is>
          <t>1016744633</t>
        </is>
      </c>
      <c r="F56" s="2" t="n">
        <v>3</v>
      </c>
      <c r="G56" s="2" t="n">
        <v>302</v>
      </c>
      <c r="H56" s="2" t="inlineStr">
        <is>
          <t>MATEMÁTICAS</t>
        </is>
      </c>
      <c r="I56" s="2" t="inlineStr">
        <is>
          <t>D</t>
        </is>
      </c>
      <c r="J56" s="3" t="inlineStr">
        <is>
          <t>CORRECTO</t>
        </is>
      </c>
      <c r="K56" s="2" t="inlineStr">
        <is>
          <t>A</t>
        </is>
      </c>
      <c r="L56" s="4" t="inlineStr">
        <is>
          <t>INCORRECTO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A</t>
        </is>
      </c>
      <c r="R56" s="4" t="inlineStr">
        <is>
          <t>INCORRECTO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A</t>
        </is>
      </c>
      <c r="V56" s="4" t="inlineStr">
        <is>
          <t>INCORRECTO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D</t>
        </is>
      </c>
      <c r="Z56" s="4" t="inlineStr">
        <is>
          <t>INCORRECTO</t>
        </is>
      </c>
      <c r="AA56" s="2" t="inlineStr">
        <is>
          <t>B</t>
        </is>
      </c>
      <c r="AB56" s="4" t="inlineStr">
        <is>
          <t>INCORRECTO</t>
        </is>
      </c>
      <c r="AC56" s="2" t="inlineStr">
        <is>
          <t>D</t>
        </is>
      </c>
      <c r="AD56" s="3" t="inlineStr">
        <is>
          <t>CORRECTO</t>
        </is>
      </c>
      <c r="AE56" s="2" t="inlineStr">
        <is>
          <t>C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D</t>
        </is>
      </c>
      <c r="AJ56" s="3" t="inlineStr">
        <is>
          <t>CORRECTO</t>
        </is>
      </c>
      <c r="AK56" s="2" t="inlineStr">
        <is>
          <t>A</t>
        </is>
      </c>
      <c r="AL56" s="3" t="inlineStr">
        <is>
          <t>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111001098825</t>
        </is>
      </c>
      <c r="C57" s="2" t="inlineStr">
        <is>
          <t>COLEGIO SAN VICENTE (IED)</t>
        </is>
      </c>
      <c r="D57" s="2" t="inlineStr">
        <is>
          <t>MAILY SAMARA MORA SUAREZ</t>
        </is>
      </c>
      <c r="E57" s="2" t="inlineStr">
        <is>
          <t>1016744633</t>
        </is>
      </c>
      <c r="F57" s="2" t="n">
        <v>3</v>
      </c>
      <c r="G57" s="2" t="n">
        <v>302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A</t>
        </is>
      </c>
      <c r="R57" s="4" t="inlineStr">
        <is>
          <t>INCORRECTO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B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A</t>
        </is>
      </c>
      <c r="AH57" s="3" t="inlineStr">
        <is>
          <t>CORRECTO</t>
        </is>
      </c>
      <c r="AI57" s="2" t="inlineStr">
        <is>
          <t>C</t>
        </is>
      </c>
      <c r="AJ57" s="4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111001098825</t>
        </is>
      </c>
      <c r="C58" s="2" t="inlineStr">
        <is>
          <t>COLEGIO SAN VICENTE (IED)</t>
        </is>
      </c>
      <c r="D58" s="2" t="inlineStr">
        <is>
          <t>LUCI GABRIELA TORRES GUTIERREZ</t>
        </is>
      </c>
      <c r="E58" s="2" t="inlineStr">
        <is>
          <t>1023981564</t>
        </is>
      </c>
      <c r="F58" s="2" t="n">
        <v>3</v>
      </c>
      <c r="G58" s="2" t="n">
        <v>302</v>
      </c>
      <c r="H58" s="2" t="inlineStr">
        <is>
          <t>MATEMÁTICAS</t>
        </is>
      </c>
      <c r="I58" s="2" t="inlineStr">
        <is>
          <t>D</t>
        </is>
      </c>
      <c r="J58" s="3" t="inlineStr">
        <is>
          <t>CORRECTO</t>
        </is>
      </c>
      <c r="K58" s="2" t="inlineStr">
        <is>
          <t>A</t>
        </is>
      </c>
      <c r="L58" s="4" t="inlineStr">
        <is>
          <t>INCORRECTO</t>
        </is>
      </c>
      <c r="M58" s="2" t="inlineStr">
        <is>
          <t>A</t>
        </is>
      </c>
      <c r="N58" s="4" t="inlineStr">
        <is>
          <t>INCORRECTO</t>
        </is>
      </c>
      <c r="O58" s="2" t="inlineStr">
        <is>
          <t>D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C</t>
        </is>
      </c>
      <c r="V58" s="4" t="inlineStr">
        <is>
          <t>INCORRECTO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B</t>
        </is>
      </c>
      <c r="AB58" s="4" t="inlineStr">
        <is>
          <t>INCORRECTO</t>
        </is>
      </c>
      <c r="AC58" s="2" t="inlineStr">
        <is>
          <t>D</t>
        </is>
      </c>
      <c r="AD58" s="3" t="inlineStr">
        <is>
          <t>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D</t>
        </is>
      </c>
      <c r="AJ58" s="3" t="inlineStr">
        <is>
          <t>CORRECTO</t>
        </is>
      </c>
      <c r="AK58" s="2" t="inlineStr">
        <is>
          <t>A</t>
        </is>
      </c>
      <c r="AL58" s="3" t="inlineStr">
        <is>
          <t>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111001098825</t>
        </is>
      </c>
      <c r="C59" s="2" t="inlineStr">
        <is>
          <t>COLEGIO SAN VICENTE (IED)</t>
        </is>
      </c>
      <c r="D59" s="2" t="inlineStr">
        <is>
          <t>LUCI GABRIELA TORRES GUTIERREZ</t>
        </is>
      </c>
      <c r="E59" s="2" t="inlineStr">
        <is>
          <t>1023981564</t>
        </is>
      </c>
      <c r="F59" s="2" t="n">
        <v>3</v>
      </c>
      <c r="G59" s="2" t="n">
        <v>302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A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A</t>
        </is>
      </c>
      <c r="AL59" s="3" t="inlineStr">
        <is>
          <t>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111001098825</t>
        </is>
      </c>
      <c r="C60" s="2" t="inlineStr">
        <is>
          <t>COLEGIO SAN VICENTE (IED)</t>
        </is>
      </c>
      <c r="D60" s="2" t="inlineStr">
        <is>
          <t>LUIS ANGEL DOMINGUEZ ALARCON</t>
        </is>
      </c>
      <c r="E60" s="2" t="inlineStr">
        <is>
          <t>1016746859</t>
        </is>
      </c>
      <c r="F60" s="2" t="n">
        <v>3</v>
      </c>
      <c r="G60" s="2" t="n">
        <v>302</v>
      </c>
      <c r="H60" s="2" t="inlineStr">
        <is>
          <t>MATEMÁTICAS</t>
        </is>
      </c>
      <c r="I60" s="2" t="inlineStr">
        <is>
          <t>D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D</t>
        </is>
      </c>
      <c r="AD60" s="3" t="inlineStr">
        <is>
          <t>CORRECTO</t>
        </is>
      </c>
      <c r="AE60" s="2" t="inlineStr">
        <is>
          <t>C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D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111001098825</t>
        </is>
      </c>
      <c r="C61" s="2" t="inlineStr">
        <is>
          <t>COLEGIO SAN VICENTE (IED)</t>
        </is>
      </c>
      <c r="D61" s="2" t="inlineStr">
        <is>
          <t>LUIS ANGEL DOMINGUEZ ALARCON</t>
        </is>
      </c>
      <c r="E61" s="2" t="inlineStr">
        <is>
          <t>1016746859</t>
        </is>
      </c>
      <c r="F61" s="2" t="n">
        <v>3</v>
      </c>
      <c r="G61" s="2" t="n">
        <v>302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D</t>
        </is>
      </c>
      <c r="P61" s="4" t="inlineStr">
        <is>
          <t>INCORRECTO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A</t>
        </is>
      </c>
      <c r="AF61" s="4" t="inlineStr">
        <is>
          <t>INCORRECTO</t>
        </is>
      </c>
      <c r="AG61" s="2" t="inlineStr">
        <is>
          <t>A</t>
        </is>
      </c>
      <c r="AH61" s="3" t="inlineStr">
        <is>
          <t>CORRECTO</t>
        </is>
      </c>
      <c r="AI61" s="2" t="inlineStr">
        <is>
          <t>C</t>
        </is>
      </c>
      <c r="AJ61" s="4" t="inlineStr">
        <is>
          <t>INCORRECTO</t>
        </is>
      </c>
      <c r="AK61" s="2" t="inlineStr">
        <is>
          <t>D</t>
        </is>
      </c>
      <c r="AL61" s="4" t="inlineStr">
        <is>
          <t>INCORRECTO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111001098825</t>
        </is>
      </c>
      <c r="C62" s="2" t="inlineStr">
        <is>
          <t>COLEGIO SAN VICENTE (IED)</t>
        </is>
      </c>
      <c r="D62" s="2" t="inlineStr">
        <is>
          <t>SAMANTHA CARO AGUDELO</t>
        </is>
      </c>
      <c r="E62" s="2" t="inlineStr">
        <is>
          <t>1023036958</t>
        </is>
      </c>
      <c r="F62" s="2" t="n">
        <v>3</v>
      </c>
      <c r="G62" s="2" t="n">
        <v>302</v>
      </c>
      <c r="H62" s="2" t="inlineStr">
        <is>
          <t>MATEMÁTICAS</t>
        </is>
      </c>
      <c r="I62" s="2" t="inlineStr">
        <is>
          <t>D</t>
        </is>
      </c>
      <c r="J62" s="3" t="inlineStr">
        <is>
          <t>CORRECTO</t>
        </is>
      </c>
      <c r="K62" s="2" t="inlineStr">
        <is>
          <t>D</t>
        </is>
      </c>
      <c r="L62" s="4" t="inlineStr">
        <is>
          <t>INCORRECTO</t>
        </is>
      </c>
      <c r="M62" s="2" t="inlineStr">
        <is>
          <t>A</t>
        </is>
      </c>
      <c r="N62" s="4" t="inlineStr">
        <is>
          <t>INCORRECTO</t>
        </is>
      </c>
      <c r="O62" s="2" t="inlineStr">
        <is>
          <t>D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A</t>
        </is>
      </c>
      <c r="T62" s="4" t="inlineStr">
        <is>
          <t>INCORRECTO</t>
        </is>
      </c>
      <c r="U62" s="2" t="inlineStr">
        <is>
          <t>C</t>
        </is>
      </c>
      <c r="V62" s="4" t="inlineStr">
        <is>
          <t>INCORRECTO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B</t>
        </is>
      </c>
      <c r="Z62" s="4" t="inlineStr">
        <is>
          <t>INCORRECTO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D</t>
        </is>
      </c>
      <c r="AD62" s="3" t="inlineStr">
        <is>
          <t>CORRECTO</t>
        </is>
      </c>
      <c r="AE62" s="2" t="inlineStr">
        <is>
          <t>C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D</t>
        </is>
      </c>
      <c r="AJ62" s="3" t="inlineStr">
        <is>
          <t>CORRECTO</t>
        </is>
      </c>
      <c r="AK62" s="2" t="inlineStr">
        <is>
          <t>C</t>
        </is>
      </c>
      <c r="AL62" s="4" t="inlineStr">
        <is>
          <t>INCORRECTO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111001098825</t>
        </is>
      </c>
      <c r="C63" s="2" t="inlineStr">
        <is>
          <t>COLEGIO SAN VICENTE (IED)</t>
        </is>
      </c>
      <c r="D63" s="2" t="inlineStr">
        <is>
          <t>SAMANTHA CARO AGUDELO</t>
        </is>
      </c>
      <c r="E63" s="2" t="inlineStr">
        <is>
          <t>1023036958</t>
        </is>
      </c>
      <c r="F63" s="2" t="n">
        <v>3</v>
      </c>
      <c r="G63" s="2" t="n">
        <v>302</v>
      </c>
      <c r="H63" s="2" t="inlineStr">
        <is>
          <t>LENGUAJE</t>
        </is>
      </c>
      <c r="I63" s="2" t="inlineStr">
        <is>
          <t>A</t>
        </is>
      </c>
      <c r="J63" s="4" t="inlineStr">
        <is>
          <t>INCORRECTO</t>
        </is>
      </c>
      <c r="K63" s="2" t="inlineStr">
        <is>
          <t>A</t>
        </is>
      </c>
      <c r="L63" s="4" t="inlineStr">
        <is>
          <t>INCORRECTO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B</t>
        </is>
      </c>
      <c r="X63" s="4" t="inlineStr">
        <is>
          <t>INCORRECTO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B</t>
        </is>
      </c>
      <c r="AB63" s="4" t="inlineStr">
        <is>
          <t>INCORRECTO</t>
        </is>
      </c>
      <c r="AC63" s="2" t="inlineStr">
        <is>
          <t>B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C</t>
        </is>
      </c>
      <c r="AH63" s="4" t="inlineStr">
        <is>
          <t>INCORRECTO</t>
        </is>
      </c>
      <c r="AI63" s="2" t="inlineStr">
        <is>
          <t>A</t>
        </is>
      </c>
      <c r="AJ63" s="4" t="inlineStr">
        <is>
          <t>INCORRECTO</t>
        </is>
      </c>
      <c r="AK63" s="2" t="inlineStr">
        <is>
          <t>D</t>
        </is>
      </c>
      <c r="AL63" s="4" t="inlineStr">
        <is>
          <t>INCORRECTO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111001098825</t>
        </is>
      </c>
      <c r="C64" s="2" t="inlineStr">
        <is>
          <t>COLEGIO SAN VICENTE (IED)</t>
        </is>
      </c>
      <c r="D64" s="2" t="inlineStr">
        <is>
          <t>LUNA SOFIA GARAY CASTRO</t>
        </is>
      </c>
      <c r="E64" s="2" t="inlineStr">
        <is>
          <t>1016744011</t>
        </is>
      </c>
      <c r="F64" s="2" t="n">
        <v>3</v>
      </c>
      <c r="G64" s="2" t="n">
        <v>302</v>
      </c>
      <c r="H64" s="2" t="inlineStr">
        <is>
          <t>MATEMÁTICAS</t>
        </is>
      </c>
      <c r="I64" s="2" t="inlineStr">
        <is>
          <t>D</t>
        </is>
      </c>
      <c r="J64" s="3" t="inlineStr">
        <is>
          <t>CORRECTO</t>
        </is>
      </c>
      <c r="K64" s="2" t="inlineStr">
        <is>
          <t>A</t>
        </is>
      </c>
      <c r="L64" s="4" t="inlineStr">
        <is>
          <t>INCORRECTO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D</t>
        </is>
      </c>
      <c r="P64" s="4" t="inlineStr">
        <is>
          <t>INCORRECTO</t>
        </is>
      </c>
      <c r="Q64" s="2" t="inlineStr">
        <is>
          <t>C</t>
        </is>
      </c>
      <c r="R64" s="4" t="inlineStr">
        <is>
          <t>INCORRECTO</t>
        </is>
      </c>
      <c r="S64" s="2" t="inlineStr">
        <is>
          <t>A</t>
        </is>
      </c>
      <c r="T64" s="4" t="inlineStr">
        <is>
          <t>INCORRECTO</t>
        </is>
      </c>
      <c r="U64" s="2" t="inlineStr">
        <is>
          <t>C</t>
        </is>
      </c>
      <c r="V64" s="4" t="inlineStr">
        <is>
          <t>INCORRECTO</t>
        </is>
      </c>
      <c r="W64" s="2" t="inlineStr">
        <is>
          <t>B</t>
        </is>
      </c>
      <c r="X64" s="4" t="inlineStr">
        <is>
          <t>INCORRECTO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D</t>
        </is>
      </c>
      <c r="AD64" s="3" t="inlineStr">
        <is>
          <t>CORRECTO</t>
        </is>
      </c>
      <c r="AE64" s="2" t="inlineStr">
        <is>
          <t>C</t>
        </is>
      </c>
      <c r="AF64" s="4" t="inlineStr">
        <is>
          <t>INCORRECTO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D</t>
        </is>
      </c>
      <c r="AJ64" s="3" t="inlineStr">
        <is>
          <t>CORRECTO</t>
        </is>
      </c>
      <c r="AK64" s="2" t="inlineStr">
        <is>
          <t>A</t>
        </is>
      </c>
      <c r="AL64" s="3" t="inlineStr">
        <is>
          <t>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111001098825</t>
        </is>
      </c>
      <c r="C65" s="2" t="inlineStr">
        <is>
          <t>COLEGIO SAN VICENTE (IED)</t>
        </is>
      </c>
      <c r="D65" s="2" t="inlineStr">
        <is>
          <t>LUNA SOFIA GARAY CASTRO</t>
        </is>
      </c>
      <c r="E65" s="2" t="inlineStr">
        <is>
          <t>1016744011</t>
        </is>
      </c>
      <c r="F65" s="2" t="n">
        <v>3</v>
      </c>
      <c r="G65" s="2" t="n">
        <v>302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D</t>
        </is>
      </c>
      <c r="AD65" s="4" t="inlineStr">
        <is>
          <t>INCORRECTO</t>
        </is>
      </c>
      <c r="AE65" s="2" t="inlineStr">
        <is>
          <t>A</t>
        </is>
      </c>
      <c r="AF65" s="4" t="inlineStr">
        <is>
          <t>INCORRECTO</t>
        </is>
      </c>
      <c r="AG65" s="2" t="inlineStr">
        <is>
          <t>C</t>
        </is>
      </c>
      <c r="AH65" s="4" t="inlineStr">
        <is>
          <t>INCORRECTO</t>
        </is>
      </c>
      <c r="AI65" s="2" t="inlineStr">
        <is>
          <t>C</t>
        </is>
      </c>
      <c r="AJ65" s="4" t="inlineStr">
        <is>
          <t>INCORRECTO</t>
        </is>
      </c>
      <c r="AK65" s="2" t="inlineStr">
        <is>
          <t>D</t>
        </is>
      </c>
      <c r="AL65" s="4" t="inlineStr">
        <is>
          <t>INCORRECTO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111001098825</t>
        </is>
      </c>
      <c r="C66" s="2" t="inlineStr">
        <is>
          <t>COLEGIO SAN VICENTE (IED)</t>
        </is>
      </c>
      <c r="D66" s="2" t="inlineStr">
        <is>
          <t>SHAROLL DAHIAN CASTRO CUESTAS</t>
        </is>
      </c>
      <c r="E66" s="2" t="inlineStr">
        <is>
          <t>1023976112</t>
        </is>
      </c>
      <c r="F66" s="2" t="n">
        <v>3</v>
      </c>
      <c r="G66" s="2" t="n">
        <v>302</v>
      </c>
      <c r="H66" s="2" t="inlineStr">
        <is>
          <t>MATEMÁTICAS</t>
        </is>
      </c>
      <c r="I66" s="2" t="inlineStr">
        <is>
          <t>D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D</t>
        </is>
      </c>
      <c r="N66" s="4" t="inlineStr">
        <is>
          <t>INCORRECTO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D</t>
        </is>
      </c>
      <c r="T66" s="4" t="inlineStr">
        <is>
          <t>INCORRECTO</t>
        </is>
      </c>
      <c r="U66" s="2" t="inlineStr">
        <is>
          <t>D</t>
        </is>
      </c>
      <c r="V66" s="4" t="inlineStr">
        <is>
          <t>INCORRECTO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A</t>
        </is>
      </c>
      <c r="Z66" s="4" t="inlineStr">
        <is>
          <t>INCORRECTO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D</t>
        </is>
      </c>
      <c r="AD66" s="3" t="inlineStr">
        <is>
          <t>CORRECTO</t>
        </is>
      </c>
      <c r="AE66" s="2" t="inlineStr">
        <is>
          <t>C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D</t>
        </is>
      </c>
      <c r="AJ66" s="3" t="inlineStr">
        <is>
          <t>CORRECTO</t>
        </is>
      </c>
      <c r="AK66" s="2" t="inlineStr">
        <is>
          <t>A</t>
        </is>
      </c>
      <c r="AL66" s="3" t="inlineStr">
        <is>
          <t>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111001098825</t>
        </is>
      </c>
      <c r="C67" s="2" t="inlineStr">
        <is>
          <t>COLEGIO SAN VICENTE (IED)</t>
        </is>
      </c>
      <c r="D67" s="2" t="inlineStr">
        <is>
          <t>SHAROLL DAHIAN CASTRO CUESTAS</t>
        </is>
      </c>
      <c r="E67" s="2" t="inlineStr">
        <is>
          <t>1023976112</t>
        </is>
      </c>
      <c r="F67" s="2" t="n">
        <v>3</v>
      </c>
      <c r="G67" s="2" t="n">
        <v>302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/>
      <c r="AD67" s="4" t="inlineStr">
        <is>
          <t>INCORRECTO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C</t>
        </is>
      </c>
      <c r="AH67" s="4" t="inlineStr">
        <is>
          <t>INCORRECTO</t>
        </is>
      </c>
      <c r="AI67" s="2" t="inlineStr">
        <is>
          <t>C</t>
        </is>
      </c>
      <c r="AJ67" s="4" t="inlineStr">
        <is>
          <t>INCORRECTO</t>
        </is>
      </c>
      <c r="AK67" s="2" t="inlineStr">
        <is>
          <t>A</t>
        </is>
      </c>
      <c r="AL67" s="3" t="inlineStr">
        <is>
          <t>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TRATADO</t>
        </is>
      </c>
      <c r="B68" s="2" t="inlineStr">
        <is>
          <t>111001098825</t>
        </is>
      </c>
      <c r="C68" s="2" t="inlineStr">
        <is>
          <t>COLEGIO SAN VICENTE (IED)</t>
        </is>
      </c>
      <c r="D68" s="2" t="inlineStr">
        <is>
          <t>EIMY VALENTINA ALMARIO CORDERO</t>
        </is>
      </c>
      <c r="E68" s="2" t="inlineStr">
        <is>
          <t>1025154878</t>
        </is>
      </c>
      <c r="F68" s="2" t="n">
        <v>3</v>
      </c>
      <c r="G68" s="2" t="n">
        <v>302</v>
      </c>
      <c r="H68" s="2" t="inlineStr">
        <is>
          <t>MATEMÁTICAS</t>
        </is>
      </c>
      <c r="I68" s="2" t="inlineStr">
        <is>
          <t>D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D</t>
        </is>
      </c>
      <c r="N68" s="4" t="inlineStr">
        <is>
          <t>INCORRECTO</t>
        </is>
      </c>
      <c r="O68" s="2" t="inlineStr">
        <is>
          <t>D</t>
        </is>
      </c>
      <c r="P68" s="4" t="inlineStr">
        <is>
          <t>INCORRECTO</t>
        </is>
      </c>
      <c r="Q68" s="2" t="inlineStr">
        <is>
          <t>C</t>
        </is>
      </c>
      <c r="R68" s="4" t="inlineStr">
        <is>
          <t>INCORRECTO</t>
        </is>
      </c>
      <c r="S68" s="2" t="inlineStr">
        <is>
          <t>D</t>
        </is>
      </c>
      <c r="T68" s="4" t="inlineStr">
        <is>
          <t>INCORRECTO</t>
        </is>
      </c>
      <c r="U68" s="2" t="inlineStr">
        <is>
          <t>C</t>
        </is>
      </c>
      <c r="V68" s="4" t="inlineStr">
        <is>
          <t>INCORRECTO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D</t>
        </is>
      </c>
      <c r="AD68" s="3" t="inlineStr">
        <is>
          <t>CORRECTO</t>
        </is>
      </c>
      <c r="AE68" s="2" t="inlineStr">
        <is>
          <t>C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D</t>
        </is>
      </c>
      <c r="AJ68" s="3" t="inlineStr">
        <is>
          <t>CORRECTO</t>
        </is>
      </c>
      <c r="AK68" s="2" t="inlineStr">
        <is>
          <t>A</t>
        </is>
      </c>
      <c r="AL68" s="3" t="inlineStr">
        <is>
          <t>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TRATADO</t>
        </is>
      </c>
      <c r="B69" s="2" t="inlineStr">
        <is>
          <t>111001098825</t>
        </is>
      </c>
      <c r="C69" s="2" t="inlineStr">
        <is>
          <t>COLEGIO SAN VICENTE (IED)</t>
        </is>
      </c>
      <c r="D69" s="2" t="inlineStr">
        <is>
          <t>EIMY VALENTINA ALMARIO CORDERO</t>
        </is>
      </c>
      <c r="E69" s="2" t="inlineStr">
        <is>
          <t>1025154878</t>
        </is>
      </c>
      <c r="F69" s="2" t="n">
        <v>3</v>
      </c>
      <c r="G69" s="2" t="n">
        <v>302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/>
      <c r="AD69" s="4" t="inlineStr">
        <is>
          <t>INCORRECTO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A</t>
        </is>
      </c>
      <c r="AH69" s="3" t="inlineStr">
        <is>
          <t>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D</t>
        </is>
      </c>
      <c r="AL69" s="4" t="inlineStr">
        <is>
          <t>INCORRECTO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>
        <is>
          <t>TRATADO</t>
        </is>
      </c>
      <c r="B70" s="2" t="inlineStr">
        <is>
          <t>111001098825</t>
        </is>
      </c>
      <c r="C70" s="2" t="inlineStr">
        <is>
          <t>COLEGIO SAN VICENTE (IED)</t>
        </is>
      </c>
      <c r="D70" s="2" t="inlineStr">
        <is>
          <t>GUADALUPE RODRIGUEZ CHAVARRO</t>
        </is>
      </c>
      <c r="E70" s="2" t="inlineStr">
        <is>
          <t>1012462494</t>
        </is>
      </c>
      <c r="F70" s="2" t="n">
        <v>3</v>
      </c>
      <c r="G70" s="2" t="n">
        <v>302</v>
      </c>
      <c r="H70" s="2" t="inlineStr">
        <is>
          <t>MATEMÁTICAS</t>
        </is>
      </c>
      <c r="I70" s="2" t="inlineStr">
        <is>
          <t>D</t>
        </is>
      </c>
      <c r="J70" s="3" t="inlineStr">
        <is>
          <t>CORRECTO</t>
        </is>
      </c>
      <c r="K70" s="2" t="inlineStr">
        <is>
          <t>A</t>
        </is>
      </c>
      <c r="L70" s="4" t="inlineStr">
        <is>
          <t>INCORRECTO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4" t="inlineStr">
        <is>
          <t>INCORRECTO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A</t>
        </is>
      </c>
      <c r="V70" s="4" t="inlineStr">
        <is>
          <t>INCORRECTO</t>
        </is>
      </c>
      <c r="W70" s="2" t="inlineStr">
        <is>
          <t>C</t>
        </is>
      </c>
      <c r="X70" s="4" t="inlineStr">
        <is>
          <t>INCORRECTO</t>
        </is>
      </c>
      <c r="Y70" s="2" t="inlineStr">
        <is>
          <t>A</t>
        </is>
      </c>
      <c r="Z70" s="4" t="inlineStr">
        <is>
          <t>INCORRECTO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D</t>
        </is>
      </c>
      <c r="AD70" s="3" t="inlineStr">
        <is>
          <t>CORRECTO</t>
        </is>
      </c>
      <c r="AE70" s="2" t="inlineStr">
        <is>
          <t>C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D</t>
        </is>
      </c>
      <c r="AJ70" s="3" t="inlineStr">
        <is>
          <t>CORRECTO</t>
        </is>
      </c>
      <c r="AK70" s="2" t="inlineStr">
        <is>
          <t>A</t>
        </is>
      </c>
      <c r="AL70" s="3" t="inlineStr">
        <is>
          <t>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>
        <is>
          <t>TRATADO</t>
        </is>
      </c>
      <c r="B71" s="2" t="inlineStr">
        <is>
          <t>111001098825</t>
        </is>
      </c>
      <c r="C71" s="2" t="inlineStr">
        <is>
          <t>COLEGIO SAN VICENTE (IED)</t>
        </is>
      </c>
      <c r="D71" s="2" t="inlineStr">
        <is>
          <t>GUADALUPE RODRIGUEZ CHAVARRO</t>
        </is>
      </c>
      <c r="E71" s="2" t="inlineStr">
        <is>
          <t>1012462494</t>
        </is>
      </c>
      <c r="F71" s="2" t="n">
        <v>3</v>
      </c>
      <c r="G71" s="2" t="n">
        <v>302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D</t>
        </is>
      </c>
      <c r="AD71" s="4" t="inlineStr">
        <is>
          <t>INCORRECTO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A</t>
        </is>
      </c>
      <c r="AH71" s="3" t="inlineStr">
        <is>
          <t>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A</t>
        </is>
      </c>
      <c r="AL71" s="3" t="inlineStr">
        <is>
          <t>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>
        <is>
          <t>TRATADO</t>
        </is>
      </c>
      <c r="B72" s="2" t="inlineStr">
        <is>
          <t>111001098825</t>
        </is>
      </c>
      <c r="C72" s="2" t="inlineStr">
        <is>
          <t>COLEGIO SAN VICENTE (IED)</t>
        </is>
      </c>
      <c r="D72" s="2" t="inlineStr">
        <is>
          <t>SOFIA BAEZ GARZON</t>
        </is>
      </c>
      <c r="E72" s="2" t="inlineStr">
        <is>
          <t>1023979056</t>
        </is>
      </c>
      <c r="F72" s="2" t="n">
        <v>3</v>
      </c>
      <c r="G72" s="2" t="n">
        <v>302</v>
      </c>
      <c r="H72" s="2" t="inlineStr">
        <is>
          <t>MATEMÁTICAS</t>
        </is>
      </c>
      <c r="I72" s="2" t="inlineStr">
        <is>
          <t>D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A</t>
        </is>
      </c>
      <c r="T72" s="4" t="inlineStr">
        <is>
          <t>INCORRECTO</t>
        </is>
      </c>
      <c r="U72" s="2" t="inlineStr">
        <is>
          <t>A</t>
        </is>
      </c>
      <c r="V72" s="4" t="inlineStr">
        <is>
          <t>INCORRECTO</t>
        </is>
      </c>
      <c r="W72" s="2" t="inlineStr">
        <is>
          <t>C</t>
        </is>
      </c>
      <c r="X72" s="4" t="inlineStr">
        <is>
          <t>INCORRECTO</t>
        </is>
      </c>
      <c r="Y72" s="2" t="inlineStr">
        <is>
          <t>A</t>
        </is>
      </c>
      <c r="Z72" s="4" t="inlineStr">
        <is>
          <t>INCORRECTO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D</t>
        </is>
      </c>
      <c r="AD72" s="3" t="inlineStr">
        <is>
          <t>CORRECTO</t>
        </is>
      </c>
      <c r="AE72" s="2" t="inlineStr">
        <is>
          <t>C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D</t>
        </is>
      </c>
      <c r="AJ72" s="3" t="inlineStr">
        <is>
          <t>CORRECTO</t>
        </is>
      </c>
      <c r="AK72" s="2" t="inlineStr">
        <is>
          <t>A</t>
        </is>
      </c>
      <c r="AL72" s="3" t="inlineStr">
        <is>
          <t>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>
        <is>
          <t>TRATADO</t>
        </is>
      </c>
      <c r="B73" s="2" t="inlineStr">
        <is>
          <t>111001098825</t>
        </is>
      </c>
      <c r="C73" s="2" t="inlineStr">
        <is>
          <t>COLEGIO SAN VICENTE (IED)</t>
        </is>
      </c>
      <c r="D73" s="2" t="inlineStr">
        <is>
          <t>SOFIA BAEZ GARZON</t>
        </is>
      </c>
      <c r="E73" s="2" t="inlineStr">
        <is>
          <t>1023979056</t>
        </is>
      </c>
      <c r="F73" s="2" t="n">
        <v>3</v>
      </c>
      <c r="G73" s="2" t="n">
        <v>302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D</t>
        </is>
      </c>
      <c r="X73" s="4" t="inlineStr">
        <is>
          <t>INCORRECTO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D</t>
        </is>
      </c>
      <c r="AD73" s="4" t="inlineStr">
        <is>
          <t>INCORRECTO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A</t>
        </is>
      </c>
      <c r="AH73" s="3" t="inlineStr">
        <is>
          <t>CORRECTO</t>
        </is>
      </c>
      <c r="AI73" s="2" t="inlineStr">
        <is>
          <t>B</t>
        </is>
      </c>
      <c r="AJ73" s="3" t="inlineStr">
        <is>
          <t>CORRECTO</t>
        </is>
      </c>
      <c r="AK73" s="2" t="inlineStr">
        <is>
          <t>A</t>
        </is>
      </c>
      <c r="AL73" s="3" t="inlineStr">
        <is>
          <t>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  <row r="74">
      <c r="A74" s="2" t="inlineStr">
        <is>
          <t>TRATADO</t>
        </is>
      </c>
      <c r="B74" s="2" t="inlineStr">
        <is>
          <t>111001098825</t>
        </is>
      </c>
      <c r="C74" s="2" t="inlineStr">
        <is>
          <t>COLEGIO SAN VICENTE (IED)</t>
        </is>
      </c>
      <c r="D74" s="2" t="inlineStr">
        <is>
          <t>ERICK STIVEN CAMACHO PRIETO</t>
        </is>
      </c>
      <c r="E74" s="2" t="inlineStr">
        <is>
          <t>1028672722</t>
        </is>
      </c>
      <c r="F74" s="2" t="n">
        <v>3</v>
      </c>
      <c r="G74" s="2" t="n">
        <v>302</v>
      </c>
      <c r="H74" s="2" t="inlineStr">
        <is>
          <t>MATEMÁTICAS</t>
        </is>
      </c>
      <c r="I74" s="2" t="inlineStr">
        <is>
          <t>D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4" t="inlineStr">
        <is>
          <t>INCORRECTO</t>
        </is>
      </c>
      <c r="S74" s="2" t="inlineStr">
        <is>
          <t>B</t>
        </is>
      </c>
      <c r="T74" s="4" t="inlineStr">
        <is>
          <t>INCORRECTO</t>
        </is>
      </c>
      <c r="U74" s="2" t="inlineStr">
        <is>
          <t>A</t>
        </is>
      </c>
      <c r="V74" s="4" t="inlineStr">
        <is>
          <t>INCORRECTO</t>
        </is>
      </c>
      <c r="W74" s="2" t="inlineStr">
        <is>
          <t>B</t>
        </is>
      </c>
      <c r="X74" s="4" t="inlineStr">
        <is>
          <t>INCORRECTO</t>
        </is>
      </c>
      <c r="Y74" s="2" t="inlineStr">
        <is>
          <t>A</t>
        </is>
      </c>
      <c r="Z74" s="4" t="inlineStr">
        <is>
          <t>INCORRECTO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D</t>
        </is>
      </c>
      <c r="AD74" s="3" t="inlineStr">
        <is>
          <t>CORRECTO</t>
        </is>
      </c>
      <c r="AE74" s="2" t="inlineStr">
        <is>
          <t>D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D</t>
        </is>
      </c>
      <c r="AJ74" s="3" t="inlineStr">
        <is>
          <t>CORRECTO</t>
        </is>
      </c>
      <c r="AK74" s="2" t="inlineStr">
        <is>
          <t>C</t>
        </is>
      </c>
      <c r="AL74" s="4" t="inlineStr">
        <is>
          <t>INCORRECTO</t>
        </is>
      </c>
      <c r="AM74" s="5">
        <f>COUNTIF(J74:AL74,"CORRECTO")</f>
        <v/>
      </c>
      <c r="AN74" s="5">
        <f>COUNTIF(J74:AL74,"INCORRECTO")</f>
        <v/>
      </c>
      <c r="AO74" s="5" t="n">
        <v>15</v>
      </c>
      <c r="AP74" s="6">
        <f>AM74/AO74</f>
        <v/>
      </c>
    </row>
    <row r="75">
      <c r="A75" s="2" t="inlineStr">
        <is>
          <t>TRATADO</t>
        </is>
      </c>
      <c r="B75" s="2" t="inlineStr">
        <is>
          <t>111001098825</t>
        </is>
      </c>
      <c r="C75" s="2" t="inlineStr">
        <is>
          <t>COLEGIO SAN VICENTE (IED)</t>
        </is>
      </c>
      <c r="D75" s="2" t="inlineStr">
        <is>
          <t>ERICK STIVEN CAMACHO PRIETO</t>
        </is>
      </c>
      <c r="E75" s="2" t="inlineStr">
        <is>
          <t>1028672722</t>
        </is>
      </c>
      <c r="F75" s="2" t="n">
        <v>3</v>
      </c>
      <c r="G75" s="2" t="n">
        <v>302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C</t>
        </is>
      </c>
      <c r="N75" s="4" t="inlineStr">
        <is>
          <t>INCORRECTO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C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C</t>
        </is>
      </c>
      <c r="AH75" s="4" t="inlineStr">
        <is>
          <t>INCORRECTO</t>
        </is>
      </c>
      <c r="AI75" s="2" t="inlineStr">
        <is>
          <t>C</t>
        </is>
      </c>
      <c r="AJ75" s="4" t="inlineStr">
        <is>
          <t>INCORRECTO</t>
        </is>
      </c>
      <c r="AK75" s="2" t="inlineStr">
        <is>
          <t>D</t>
        </is>
      </c>
      <c r="AL75" s="4" t="inlineStr">
        <is>
          <t>INCORRECTO</t>
        </is>
      </c>
      <c r="AM75" s="5">
        <f>COUNTIF(J75:AL75,"CORRECTO")</f>
        <v/>
      </c>
      <c r="AN75" s="5">
        <f>COUNTIF(J75:AL75,"INCORRECTO")</f>
        <v/>
      </c>
      <c r="AO75" s="5" t="n">
        <v>15</v>
      </c>
      <c r="AP75" s="6">
        <f>AM75/AO75</f>
        <v/>
      </c>
    </row>
    <row r="76">
      <c r="A76" s="2" t="inlineStr">
        <is>
          <t>TRATADO</t>
        </is>
      </c>
      <c r="B76" s="2" t="inlineStr">
        <is>
          <t>111001098825</t>
        </is>
      </c>
      <c r="C76" s="2" t="inlineStr">
        <is>
          <t>COLEGIO SAN VICENTE (IED)</t>
        </is>
      </c>
      <c r="D76" s="2" t="inlineStr">
        <is>
          <t>EIMMY SALOME BERNAL GARCIA</t>
        </is>
      </c>
      <c r="E76" s="2" t="inlineStr">
        <is>
          <t>1023981131</t>
        </is>
      </c>
      <c r="F76" s="2" t="n">
        <v>3</v>
      </c>
      <c r="G76" s="2" t="n">
        <v>302</v>
      </c>
      <c r="H76" s="2" t="inlineStr">
        <is>
          <t>MATEMÁTICAS</t>
        </is>
      </c>
      <c r="I76" s="2" t="inlineStr">
        <is>
          <t>D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A</t>
        </is>
      </c>
      <c r="N76" s="4" t="inlineStr">
        <is>
          <t>INCORRECTO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D</t>
        </is>
      </c>
      <c r="V76" s="4" t="inlineStr">
        <is>
          <t>INCORRECTO</t>
        </is>
      </c>
      <c r="W76" s="2" t="inlineStr">
        <is>
          <t>A</t>
        </is>
      </c>
      <c r="X76" s="4" t="inlineStr">
        <is>
          <t>INCORRECTO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B</t>
        </is>
      </c>
      <c r="AD76" s="4" t="inlineStr">
        <is>
          <t>INCORRECTO</t>
        </is>
      </c>
      <c r="AE76" s="2" t="inlineStr">
        <is>
          <t>D</t>
        </is>
      </c>
      <c r="AF76" s="3" t="inlineStr">
        <is>
          <t>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D</t>
        </is>
      </c>
      <c r="AJ76" s="3" t="inlineStr">
        <is>
          <t>CORRECTO</t>
        </is>
      </c>
      <c r="AK76" s="2" t="inlineStr">
        <is>
          <t>C</t>
        </is>
      </c>
      <c r="AL76" s="4" t="inlineStr">
        <is>
          <t>INCORRECTO</t>
        </is>
      </c>
      <c r="AM76" s="5">
        <f>COUNTIF(J76:AL76,"CORRECTO")</f>
        <v/>
      </c>
      <c r="AN76" s="5">
        <f>COUNTIF(J76:AL76,"INCORRECTO")</f>
        <v/>
      </c>
      <c r="AO76" s="5" t="n">
        <v>15</v>
      </c>
      <c r="AP76" s="6">
        <f>AM76/AO76</f>
        <v/>
      </c>
    </row>
    <row r="77">
      <c r="A77" s="2" t="inlineStr">
        <is>
          <t>TRATADO</t>
        </is>
      </c>
      <c r="B77" s="2" t="inlineStr">
        <is>
          <t>111001098825</t>
        </is>
      </c>
      <c r="C77" s="2" t="inlineStr">
        <is>
          <t>COLEGIO SAN VICENTE (IED)</t>
        </is>
      </c>
      <c r="D77" s="2" t="inlineStr">
        <is>
          <t>EIMMY SALOME BERNAL GARCIA</t>
        </is>
      </c>
      <c r="E77" s="2" t="inlineStr">
        <is>
          <t>1023981131</t>
        </is>
      </c>
      <c r="F77" s="2" t="n">
        <v>3</v>
      </c>
      <c r="G77" s="2" t="n">
        <v>302</v>
      </c>
      <c r="H77" s="2" t="inlineStr">
        <is>
          <t>LENGUAJE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B</t>
        </is>
      </c>
      <c r="AD77" s="4" t="inlineStr">
        <is>
          <t>INCORRECTO</t>
        </is>
      </c>
      <c r="AE77" s="2" t="inlineStr">
        <is>
          <t>A</t>
        </is>
      </c>
      <c r="AF77" s="4" t="inlineStr">
        <is>
          <t>INCORRECTO</t>
        </is>
      </c>
      <c r="AG77" s="2" t="inlineStr">
        <is>
          <t>D</t>
        </is>
      </c>
      <c r="AH77" s="4" t="inlineStr">
        <is>
          <t>INCORRECTO</t>
        </is>
      </c>
      <c r="AI77" s="2" t="inlineStr">
        <is>
          <t>C</t>
        </is>
      </c>
      <c r="AJ77" s="4" t="inlineStr">
        <is>
          <t>INCORRECTO</t>
        </is>
      </c>
      <c r="AK77" s="2" t="inlineStr">
        <is>
          <t>C</t>
        </is>
      </c>
      <c r="AL77" s="4" t="inlineStr">
        <is>
          <t>INCORRECTO</t>
        </is>
      </c>
      <c r="AM77" s="5">
        <f>COUNTIF(J77:AL77,"CORRECTO")</f>
        <v/>
      </c>
      <c r="AN77" s="5">
        <f>COUNTIF(J77:AL77,"INCORRECTO")</f>
        <v/>
      </c>
      <c r="AO77" s="5" t="n">
        <v>15</v>
      </c>
      <c r="AP77" s="6">
        <f>AM77/AO77</f>
        <v/>
      </c>
    </row>
    <row r="78">
      <c r="A78" s="2" t="inlineStr">
        <is>
          <t>TRATADO</t>
        </is>
      </c>
      <c r="B78" s="2" t="inlineStr">
        <is>
          <t>111001098825</t>
        </is>
      </c>
      <c r="C78" s="2" t="inlineStr">
        <is>
          <t>COLEGIO SAN VICENTE (IED)</t>
        </is>
      </c>
      <c r="D78" s="2" t="inlineStr">
        <is>
          <t>EYLEEN DANIELA LOPEZ MONROY</t>
        </is>
      </c>
      <c r="E78" s="2" t="inlineStr">
        <is>
          <t>1023976584</t>
        </is>
      </c>
      <c r="F78" s="2" t="n">
        <v>3</v>
      </c>
      <c r="G78" s="2" t="n">
        <v>302</v>
      </c>
      <c r="H78" s="2" t="inlineStr">
        <is>
          <t>MATEMÁTICAS</t>
        </is>
      </c>
      <c r="I78" s="2" t="inlineStr">
        <is>
          <t>D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A</t>
        </is>
      </c>
      <c r="R78" s="4" t="inlineStr">
        <is>
          <t>INCORRECTO</t>
        </is>
      </c>
      <c r="S78" s="2" t="inlineStr">
        <is>
          <t>C</t>
        </is>
      </c>
      <c r="T78" s="3" t="inlineStr">
        <is>
          <t>CORRECTO</t>
        </is>
      </c>
      <c r="U78" s="2" t="inlineStr">
        <is>
          <t>D</t>
        </is>
      </c>
      <c r="V78" s="4" t="inlineStr">
        <is>
          <t>INCORRECTO</t>
        </is>
      </c>
      <c r="W78" s="2" t="inlineStr">
        <is>
          <t>D</t>
        </is>
      </c>
      <c r="X78" s="3" t="inlineStr">
        <is>
          <t>CORRECTO</t>
        </is>
      </c>
      <c r="Y78" s="2" t="inlineStr">
        <is>
          <t>B</t>
        </is>
      </c>
      <c r="Z78" s="4" t="inlineStr">
        <is>
          <t>INCORRECTO</t>
        </is>
      </c>
      <c r="AA78" s="2" t="inlineStr">
        <is>
          <t>A</t>
        </is>
      </c>
      <c r="AB78" s="4" t="inlineStr">
        <is>
          <t>INCORRECTO</t>
        </is>
      </c>
      <c r="AC78" s="2" t="inlineStr">
        <is>
          <t>D</t>
        </is>
      </c>
      <c r="AD78" s="3" t="inlineStr">
        <is>
          <t>CORRECTO</t>
        </is>
      </c>
      <c r="AE78" s="2" t="inlineStr">
        <is>
          <t>D</t>
        </is>
      </c>
      <c r="AF78" s="3" t="inlineStr">
        <is>
          <t>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D</t>
        </is>
      </c>
      <c r="AJ78" s="3" t="inlineStr">
        <is>
          <t>CORRECTO</t>
        </is>
      </c>
      <c r="AK78" s="2" t="inlineStr">
        <is>
          <t>A</t>
        </is>
      </c>
      <c r="AL78" s="3" t="inlineStr">
        <is>
          <t>CORRECTO</t>
        </is>
      </c>
      <c r="AM78" s="5">
        <f>COUNTIF(J78:AL78,"CORRECTO")</f>
        <v/>
      </c>
      <c r="AN78" s="5">
        <f>COUNTIF(J78:AL78,"INCORRECTO")</f>
        <v/>
      </c>
      <c r="AO78" s="5" t="n">
        <v>15</v>
      </c>
      <c r="AP78" s="6">
        <f>AM78/AO78</f>
        <v/>
      </c>
    </row>
    <row r="79">
      <c r="A79" s="2" t="inlineStr">
        <is>
          <t>TRATADO</t>
        </is>
      </c>
      <c r="B79" s="2" t="inlineStr">
        <is>
          <t>111001098825</t>
        </is>
      </c>
      <c r="C79" s="2" t="inlineStr">
        <is>
          <t>COLEGIO SAN VICENTE (IED)</t>
        </is>
      </c>
      <c r="D79" s="2" t="inlineStr">
        <is>
          <t>EYLEEN DANIELA LOPEZ MONROY</t>
        </is>
      </c>
      <c r="E79" s="2" t="inlineStr">
        <is>
          <t>1023976584</t>
        </is>
      </c>
      <c r="F79" s="2" t="n">
        <v>3</v>
      </c>
      <c r="G79" s="2" t="n">
        <v>302</v>
      </c>
      <c r="H79" s="2" t="inlineStr">
        <is>
          <t>LENGUAJE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A</t>
        </is>
      </c>
      <c r="R79" s="4" t="inlineStr">
        <is>
          <t>INCORRECTO</t>
        </is>
      </c>
      <c r="S79" s="2" t="inlineStr">
        <is>
          <t>B</t>
        </is>
      </c>
      <c r="T79" s="3" t="inlineStr">
        <is>
          <t>CORRECTO</t>
        </is>
      </c>
      <c r="U79" s="2" t="inlineStr">
        <is>
          <t>B</t>
        </is>
      </c>
      <c r="V79" s="4" t="inlineStr">
        <is>
          <t>INCORRECTO</t>
        </is>
      </c>
      <c r="W79" s="2" t="inlineStr">
        <is>
          <t>B</t>
        </is>
      </c>
      <c r="X79" s="4" t="inlineStr">
        <is>
          <t>INCORRECTO</t>
        </is>
      </c>
      <c r="Y79" s="2" t="inlineStr">
        <is>
          <t>B</t>
        </is>
      </c>
      <c r="Z79" s="3" t="inlineStr">
        <is>
          <t>CORRECTO</t>
        </is>
      </c>
      <c r="AA79" s="2" t="inlineStr">
        <is>
          <t>B</t>
        </is>
      </c>
      <c r="AB79" s="4" t="inlineStr">
        <is>
          <t>INCORRECTO</t>
        </is>
      </c>
      <c r="AC79" s="2" t="inlineStr">
        <is>
          <t>A</t>
        </is>
      </c>
      <c r="AD79" s="4" t="inlineStr">
        <is>
          <t>INCORRECTO</t>
        </is>
      </c>
      <c r="AE79" s="2" t="inlineStr">
        <is>
          <t>D</t>
        </is>
      </c>
      <c r="AF79" s="4" t="inlineStr">
        <is>
          <t>INCORRECTO</t>
        </is>
      </c>
      <c r="AG79" s="2" t="inlineStr">
        <is>
          <t>A</t>
        </is>
      </c>
      <c r="AH79" s="3" t="inlineStr">
        <is>
          <t>CORRECTO</t>
        </is>
      </c>
      <c r="AI79" s="2" t="inlineStr">
        <is>
          <t>B</t>
        </is>
      </c>
      <c r="AJ79" s="3" t="inlineStr">
        <is>
          <t>CORRECTO</t>
        </is>
      </c>
      <c r="AK79" s="2" t="inlineStr">
        <is>
          <t>D</t>
        </is>
      </c>
      <c r="AL79" s="4" t="inlineStr">
        <is>
          <t>INCORRECTO</t>
        </is>
      </c>
      <c r="AM79" s="5">
        <f>COUNTIF(J79:AL79,"CORRECTO")</f>
        <v/>
      </c>
      <c r="AN79" s="5">
        <f>COUNTIF(J79:AL79,"INCORRECTO")</f>
        <v/>
      </c>
      <c r="AO79" s="5" t="n">
        <v>15</v>
      </c>
      <c r="AP79" s="6">
        <f>AM79/AO79</f>
        <v/>
      </c>
    </row>
    <row r="80">
      <c r="A80" s="2" t="inlineStr">
        <is>
          <t>TRATADO</t>
        </is>
      </c>
      <c r="B80" s="2" t="inlineStr">
        <is>
          <t>111001098825</t>
        </is>
      </c>
      <c r="C80" s="2" t="inlineStr">
        <is>
          <t>COLEGIO SAN VICENTE (IED)</t>
        </is>
      </c>
      <c r="D80" s="2" t="inlineStr">
        <is>
          <t>MIA LUCIANA GALEANO MARTINEZ</t>
        </is>
      </c>
      <c r="E80" s="2" t="inlineStr">
        <is>
          <t>1016743554</t>
        </is>
      </c>
      <c r="F80" s="2" t="n">
        <v>3</v>
      </c>
      <c r="G80" s="2" t="n">
        <v>302</v>
      </c>
      <c r="H80" s="2" t="inlineStr">
        <is>
          <t>MATEMÁTICAS</t>
        </is>
      </c>
      <c r="I80" s="2" t="inlineStr">
        <is>
          <t>D</t>
        </is>
      </c>
      <c r="J80" s="3" t="inlineStr">
        <is>
          <t>CORRECTO</t>
        </is>
      </c>
      <c r="K80" s="2" t="inlineStr">
        <is>
          <t>A</t>
        </is>
      </c>
      <c r="L80" s="4" t="inlineStr">
        <is>
          <t>INCORRECTO</t>
        </is>
      </c>
      <c r="M80" s="2" t="inlineStr">
        <is>
          <t>C</t>
        </is>
      </c>
      <c r="N80" s="3" t="inlineStr">
        <is>
          <t>CORRECTO</t>
        </is>
      </c>
      <c r="O80" s="2" t="inlineStr">
        <is>
          <t>C</t>
        </is>
      </c>
      <c r="P80" s="3" t="inlineStr">
        <is>
          <t>CORRECTO</t>
        </is>
      </c>
      <c r="Q80" s="2" t="inlineStr">
        <is>
          <t>B</t>
        </is>
      </c>
      <c r="R80" s="3" t="inlineStr">
        <is>
          <t>CORRECTO</t>
        </is>
      </c>
      <c r="S80" s="2" t="inlineStr">
        <is>
          <t>A</t>
        </is>
      </c>
      <c r="T80" s="4" t="inlineStr">
        <is>
          <t>INCORRECTO</t>
        </is>
      </c>
      <c r="U80" s="2" t="inlineStr">
        <is>
          <t>A</t>
        </is>
      </c>
      <c r="V80" s="4" t="inlineStr">
        <is>
          <t>INCORRECTO</t>
        </is>
      </c>
      <c r="W80" s="2" t="inlineStr">
        <is>
          <t>D</t>
        </is>
      </c>
      <c r="X80" s="3" t="inlineStr">
        <is>
          <t>CORRECTO</t>
        </is>
      </c>
      <c r="Y80" s="2" t="inlineStr">
        <is>
          <t>A</t>
        </is>
      </c>
      <c r="Z80" s="4" t="inlineStr">
        <is>
          <t>INCORRECTO</t>
        </is>
      </c>
      <c r="AA80" s="2" t="inlineStr">
        <is>
          <t>C</t>
        </is>
      </c>
      <c r="AB80" s="3" t="inlineStr">
        <is>
          <t>CORRECTO</t>
        </is>
      </c>
      <c r="AC80" s="2" t="inlineStr">
        <is>
          <t>D</t>
        </is>
      </c>
      <c r="AD80" s="3" t="inlineStr">
        <is>
          <t>CORRECTO</t>
        </is>
      </c>
      <c r="AE80" s="2" t="inlineStr">
        <is>
          <t>D</t>
        </is>
      </c>
      <c r="AF80" s="3" t="inlineStr">
        <is>
          <t>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D</t>
        </is>
      </c>
      <c r="AJ80" s="3" t="inlineStr">
        <is>
          <t>CORRECTO</t>
        </is>
      </c>
      <c r="AK80" s="2" t="inlineStr">
        <is>
          <t>A</t>
        </is>
      </c>
      <c r="AL80" s="3" t="inlineStr">
        <is>
          <t>CORRECTO</t>
        </is>
      </c>
      <c r="AM80" s="5">
        <f>COUNTIF(J80:AL80,"CORRECTO")</f>
        <v/>
      </c>
      <c r="AN80" s="5">
        <f>COUNTIF(J80:AL80,"INCORRECTO")</f>
        <v/>
      </c>
      <c r="AO80" s="5" t="n">
        <v>15</v>
      </c>
      <c r="AP80" s="6">
        <f>AM80/AO80</f>
        <v/>
      </c>
    </row>
    <row r="81">
      <c r="A81" s="2" t="inlineStr">
        <is>
          <t>TRATADO</t>
        </is>
      </c>
      <c r="B81" s="2" t="inlineStr">
        <is>
          <t>111001098825</t>
        </is>
      </c>
      <c r="C81" s="2" t="inlineStr">
        <is>
          <t>COLEGIO SAN VICENTE (IED)</t>
        </is>
      </c>
      <c r="D81" s="2" t="inlineStr">
        <is>
          <t>MIA LUCIANA GALEANO MARTINEZ</t>
        </is>
      </c>
      <c r="E81" s="2" t="inlineStr">
        <is>
          <t>1016743554</t>
        </is>
      </c>
      <c r="F81" s="2" t="n">
        <v>3</v>
      </c>
      <c r="G81" s="2" t="n">
        <v>302</v>
      </c>
      <c r="H81" s="2" t="inlineStr">
        <is>
          <t>LENGUAJE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B</t>
        </is>
      </c>
      <c r="L81" s="3" t="inlineStr">
        <is>
          <t>CORRECTO</t>
        </is>
      </c>
      <c r="M81" s="2" t="inlineStr">
        <is>
          <t>B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C</t>
        </is>
      </c>
      <c r="R81" s="3" t="inlineStr">
        <is>
          <t>CORRECTO</t>
        </is>
      </c>
      <c r="S81" s="2" t="inlineStr">
        <is>
          <t>B</t>
        </is>
      </c>
      <c r="T81" s="3" t="inlineStr">
        <is>
          <t>CORRECTO</t>
        </is>
      </c>
      <c r="U81" s="2" t="inlineStr">
        <is>
          <t>C</t>
        </is>
      </c>
      <c r="V81" s="3" t="inlineStr">
        <is>
          <t>CORRECTO</t>
        </is>
      </c>
      <c r="W81" s="2" t="inlineStr">
        <is>
          <t>C</t>
        </is>
      </c>
      <c r="X81" s="3" t="inlineStr">
        <is>
          <t>CORRECTO</t>
        </is>
      </c>
      <c r="Y81" s="2" t="inlineStr">
        <is>
          <t>B</t>
        </is>
      </c>
      <c r="Z81" s="3" t="inlineStr">
        <is>
          <t>CORRECTO</t>
        </is>
      </c>
      <c r="AA81" s="2" t="inlineStr">
        <is>
          <t>C</t>
        </is>
      </c>
      <c r="AB81" s="3" t="inlineStr">
        <is>
          <t>CORRECTO</t>
        </is>
      </c>
      <c r="AC81" s="2" t="inlineStr">
        <is>
          <t>C</t>
        </is>
      </c>
      <c r="AD81" s="3" t="inlineStr">
        <is>
          <t>CORRECTO</t>
        </is>
      </c>
      <c r="AE81" s="2" t="inlineStr">
        <is>
          <t>B</t>
        </is>
      </c>
      <c r="AF81" s="3" t="inlineStr">
        <is>
          <t>CORRECTO</t>
        </is>
      </c>
      <c r="AG81" s="2" t="inlineStr">
        <is>
          <t>A</t>
        </is>
      </c>
      <c r="AH81" s="3" t="inlineStr">
        <is>
          <t>CORRECTO</t>
        </is>
      </c>
      <c r="AI81" s="2" t="inlineStr">
        <is>
          <t>C</t>
        </is>
      </c>
      <c r="AJ81" s="4" t="inlineStr">
        <is>
          <t>INCORRECTO</t>
        </is>
      </c>
      <c r="AK81" s="2" t="inlineStr">
        <is>
          <t>C</t>
        </is>
      </c>
      <c r="AL81" s="4" t="inlineStr">
        <is>
          <t>INCORRECTO</t>
        </is>
      </c>
      <c r="AM81" s="5">
        <f>COUNTIF(J81:AL81,"CORRECTO")</f>
        <v/>
      </c>
      <c r="AN81" s="5">
        <f>COUNTIF(J81:AL81,"INCORRECTO")</f>
        <v/>
      </c>
      <c r="AO81" s="5" t="n">
        <v>15</v>
      </c>
      <c r="AP81" s="6">
        <f>AM81/AO81</f>
        <v/>
      </c>
    </row>
    <row r="82">
      <c r="A82" s="2" t="inlineStr">
        <is>
          <t>TRATADO</t>
        </is>
      </c>
      <c r="B82" s="2" t="inlineStr">
        <is>
          <t>111001098825</t>
        </is>
      </c>
      <c r="C82" s="2" t="inlineStr">
        <is>
          <t>COLEGIO SAN VICENTE (IED)</t>
        </is>
      </c>
      <c r="D82" s="2" t="inlineStr">
        <is>
          <t>ANGEL MATHIAS LADINO PARRA</t>
        </is>
      </c>
      <c r="E82" s="2" t="inlineStr">
        <is>
          <t>1023978534</t>
        </is>
      </c>
      <c r="F82" s="2" t="n">
        <v>3</v>
      </c>
      <c r="G82" s="2" t="n">
        <v>302</v>
      </c>
      <c r="H82" s="2" t="inlineStr">
        <is>
          <t>MATEMÁTICAS</t>
        </is>
      </c>
      <c r="I82" s="2" t="inlineStr">
        <is>
          <t>B</t>
        </is>
      </c>
      <c r="J82" s="4" t="inlineStr">
        <is>
          <t>INCORRECTO</t>
        </is>
      </c>
      <c r="K82" s="2" t="inlineStr">
        <is>
          <t>D</t>
        </is>
      </c>
      <c r="L82" s="4" t="inlineStr">
        <is>
          <t>INCORRECTO</t>
        </is>
      </c>
      <c r="M82" s="2" t="inlineStr">
        <is>
          <t>A</t>
        </is>
      </c>
      <c r="N82" s="4" t="inlineStr">
        <is>
          <t>INCORRECTO</t>
        </is>
      </c>
      <c r="O82" s="2" t="inlineStr">
        <is>
          <t>D</t>
        </is>
      </c>
      <c r="P82" s="4" t="inlineStr">
        <is>
          <t>INCORRECTO</t>
        </is>
      </c>
      <c r="Q82" s="2" t="inlineStr">
        <is>
          <t>C</t>
        </is>
      </c>
      <c r="R82" s="4" t="inlineStr">
        <is>
          <t>INCORRECTO</t>
        </is>
      </c>
      <c r="S82" s="2" t="inlineStr">
        <is>
          <t>A</t>
        </is>
      </c>
      <c r="T82" s="4" t="inlineStr">
        <is>
          <t>INCORRECTO</t>
        </is>
      </c>
      <c r="U82" s="2" t="inlineStr">
        <is>
          <t>A</t>
        </is>
      </c>
      <c r="V82" s="4" t="inlineStr">
        <is>
          <t>INCORRECTO</t>
        </is>
      </c>
      <c r="W82" s="2" t="inlineStr">
        <is>
          <t>C</t>
        </is>
      </c>
      <c r="X82" s="4" t="inlineStr">
        <is>
          <t>INCORRECTO</t>
        </is>
      </c>
      <c r="Y82" s="2" t="inlineStr">
        <is>
          <t>A</t>
        </is>
      </c>
      <c r="Z82" s="4" t="inlineStr">
        <is>
          <t>INCORRECTO</t>
        </is>
      </c>
      <c r="AA82" s="2" t="inlineStr">
        <is>
          <t>C</t>
        </is>
      </c>
      <c r="AB82" s="3" t="inlineStr">
        <is>
          <t>CORRECTO</t>
        </is>
      </c>
      <c r="AC82" s="2" t="inlineStr">
        <is>
          <t>D</t>
        </is>
      </c>
      <c r="AD82" s="3" t="inlineStr">
        <is>
          <t>CORRECTO</t>
        </is>
      </c>
      <c r="AE82" s="2" t="inlineStr">
        <is>
          <t>C</t>
        </is>
      </c>
      <c r="AF82" s="4" t="inlineStr">
        <is>
          <t>INCORRECTO</t>
        </is>
      </c>
      <c r="AG82" s="2" t="inlineStr">
        <is>
          <t>C</t>
        </is>
      </c>
      <c r="AH82" s="3" t="inlineStr">
        <is>
          <t>CORRECTO</t>
        </is>
      </c>
      <c r="AI82" s="2" t="inlineStr">
        <is>
          <t>D</t>
        </is>
      </c>
      <c r="AJ82" s="3" t="inlineStr">
        <is>
          <t>CORRECTO</t>
        </is>
      </c>
      <c r="AK82" s="2" t="inlineStr">
        <is>
          <t>C</t>
        </is>
      </c>
      <c r="AL82" s="4" t="inlineStr">
        <is>
          <t>INCORRECTO</t>
        </is>
      </c>
      <c r="AM82" s="5">
        <f>COUNTIF(J82:AL82,"CORRECTO")</f>
        <v/>
      </c>
      <c r="AN82" s="5">
        <f>COUNTIF(J82:AL82,"INCORRECTO")</f>
        <v/>
      </c>
      <c r="AO82" s="5" t="n">
        <v>15</v>
      </c>
      <c r="AP82" s="6">
        <f>AM82/AO82</f>
        <v/>
      </c>
    </row>
    <row r="83">
      <c r="A83" s="2" t="inlineStr">
        <is>
          <t>TRATADO</t>
        </is>
      </c>
      <c r="B83" s="2" t="inlineStr">
        <is>
          <t>111001098825</t>
        </is>
      </c>
      <c r="C83" s="2" t="inlineStr">
        <is>
          <t>COLEGIO SAN VICENTE (IED)</t>
        </is>
      </c>
      <c r="D83" s="2" t="inlineStr">
        <is>
          <t>ANGEL MATHIAS LADINO PARRA</t>
        </is>
      </c>
      <c r="E83" s="2" t="inlineStr">
        <is>
          <t>1023978534</t>
        </is>
      </c>
      <c r="F83" s="2" t="n">
        <v>3</v>
      </c>
      <c r="G83" s="2" t="n">
        <v>302</v>
      </c>
      <c r="H83" s="2" t="inlineStr">
        <is>
          <t>LENGUAJE</t>
        </is>
      </c>
      <c r="I83" s="2" t="inlineStr">
        <is>
          <t>B</t>
        </is>
      </c>
      <c r="J83" s="3" t="inlineStr">
        <is>
          <t>CORRECTO</t>
        </is>
      </c>
      <c r="K83" s="2" t="inlineStr">
        <is>
          <t>B</t>
        </is>
      </c>
      <c r="L83" s="3" t="inlineStr">
        <is>
          <t>CORRECTO</t>
        </is>
      </c>
      <c r="M83" s="2" t="inlineStr">
        <is>
          <t>B</t>
        </is>
      </c>
      <c r="N83" s="3" t="inlineStr">
        <is>
          <t>CORRECTO</t>
        </is>
      </c>
      <c r="O83" s="2" t="inlineStr">
        <is>
          <t>B</t>
        </is>
      </c>
      <c r="P83" s="4" t="inlineStr">
        <is>
          <t>INCORRECTO</t>
        </is>
      </c>
      <c r="Q83" s="2" t="inlineStr">
        <is>
          <t>C</t>
        </is>
      </c>
      <c r="R83" s="3" t="inlineStr">
        <is>
          <t>CORRECTO</t>
        </is>
      </c>
      <c r="S83" s="2" t="inlineStr">
        <is>
          <t>B</t>
        </is>
      </c>
      <c r="T83" s="3" t="inlineStr">
        <is>
          <t>CORRECTO</t>
        </is>
      </c>
      <c r="U83" s="2" t="inlineStr">
        <is>
          <t>C</t>
        </is>
      </c>
      <c r="V83" s="3" t="inlineStr">
        <is>
          <t>CORRECTO</t>
        </is>
      </c>
      <c r="W83" s="2" t="inlineStr">
        <is>
          <t>C</t>
        </is>
      </c>
      <c r="X83" s="3" t="inlineStr">
        <is>
          <t>CORRECTO</t>
        </is>
      </c>
      <c r="Y83" s="2" t="inlineStr">
        <is>
          <t>B</t>
        </is>
      </c>
      <c r="Z83" s="3" t="inlineStr">
        <is>
          <t>CORRECTO</t>
        </is>
      </c>
      <c r="AA83" s="2" t="inlineStr">
        <is>
          <t>C</t>
        </is>
      </c>
      <c r="AB83" s="3" t="inlineStr">
        <is>
          <t>CORRECTO</t>
        </is>
      </c>
      <c r="AC83" s="2" t="inlineStr">
        <is>
          <t>A</t>
        </is>
      </c>
      <c r="AD83" s="4" t="inlineStr">
        <is>
          <t>INCORRECTO</t>
        </is>
      </c>
      <c r="AE83" s="2" t="inlineStr">
        <is>
          <t>B</t>
        </is>
      </c>
      <c r="AF83" s="3" t="inlineStr">
        <is>
          <t>CORRECTO</t>
        </is>
      </c>
      <c r="AG83" s="2" t="inlineStr">
        <is>
          <t>C</t>
        </is>
      </c>
      <c r="AH83" s="4" t="inlineStr">
        <is>
          <t>INCORRECTO</t>
        </is>
      </c>
      <c r="AI83" s="2" t="inlineStr">
        <is>
          <t>B</t>
        </is>
      </c>
      <c r="AJ83" s="3" t="inlineStr">
        <is>
          <t>CORRECTO</t>
        </is>
      </c>
      <c r="AK83" s="2" t="inlineStr">
        <is>
          <t>B</t>
        </is>
      </c>
      <c r="AL83" s="4" t="inlineStr">
        <is>
          <t>INCORRECTO</t>
        </is>
      </c>
      <c r="AM83" s="5">
        <f>COUNTIF(J83:AL83,"CORRECTO")</f>
        <v/>
      </c>
      <c r="AN83" s="5">
        <f>COUNTIF(J83:AL83,"INCORRECTO")</f>
        <v/>
      </c>
      <c r="AO83" s="5" t="n">
        <v>15</v>
      </c>
      <c r="AP83" s="6">
        <f>AM83/AO83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2026-06-25T21:46:16Z</dcterms:created>
  <dcterms:modified xmlns:dcterms="http://purl.org/dc/terms/" xmlns:xsi="http://www.w3.org/2001/XMLSchema-instance" xsi:type="dcterms:W3CDTF">2026-06-25T21:46:16Z</dcterms:modified>
</cp:coreProperties>
</file>