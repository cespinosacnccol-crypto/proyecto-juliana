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111001098892</t>
        </is>
      </c>
      <c r="C2" s="2" t="inlineStr">
        <is>
          <t>COLEGIO BELLAVISTA (IED)</t>
        </is>
      </c>
      <c r="D2" s="2" t="inlineStr">
        <is>
          <t>SHARICK ARIANA HURTADO JARAMILLO</t>
        </is>
      </c>
      <c r="E2" s="2" t="inlineStr">
        <is>
          <t>1141360892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4">
        <f>COUNTIF(J2:AL2,"CORRECTO")</f>
        <v/>
      </c>
      <c r="AN2" s="4">
        <f>COUNTIF(J2:AL2,"INCORRECTO")</f>
        <v/>
      </c>
      <c r="AO2" s="4" t="n">
        <v>15</v>
      </c>
      <c r="AP2" s="5">
        <f>AM2/AO2</f>
        <v/>
      </c>
    </row>
    <row r="3">
      <c r="A3" s="2" t="inlineStr"/>
      <c r="B3" s="2" t="inlineStr">
        <is>
          <t>111001098892</t>
        </is>
      </c>
      <c r="C3" s="2" t="inlineStr">
        <is>
          <t>COLEGIO BELLAVISTA (IED)</t>
        </is>
      </c>
      <c r="D3" s="2" t="inlineStr">
        <is>
          <t>SHARICK ARIANA HURTADO JARAMILLO</t>
        </is>
      </c>
      <c r="E3" s="2" t="inlineStr">
        <is>
          <t>1141360892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6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4">
        <f>COUNTIF(J3:AL3,"CORRECTO")</f>
        <v/>
      </c>
      <c r="AN3" s="4">
        <f>COUNTIF(J3:AL3,"INCORRECTO")</f>
        <v/>
      </c>
      <c r="AO3" s="4" t="n">
        <v>15</v>
      </c>
      <c r="AP3" s="5">
        <f>AM3/AO3</f>
        <v/>
      </c>
    </row>
    <row r="4">
      <c r="A4" s="2" t="inlineStr"/>
      <c r="B4" s="2" t="inlineStr">
        <is>
          <t>111001098892</t>
        </is>
      </c>
      <c r="C4" s="2" t="inlineStr">
        <is>
          <t>COLEGIO BELLAVISTA (IED)</t>
        </is>
      </c>
      <c r="D4" s="2" t="inlineStr">
        <is>
          <t>SARITA PINTO PEREZ</t>
        </is>
      </c>
      <c r="E4" s="2" t="inlineStr">
        <is>
          <t>1141359897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6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4">
        <f>COUNTIF(J4:AL4,"CORRECTO")</f>
        <v/>
      </c>
      <c r="AN4" s="4">
        <f>COUNTIF(J4:AL4,"INCORRECTO")</f>
        <v/>
      </c>
      <c r="AO4" s="4" t="n">
        <v>15</v>
      </c>
      <c r="AP4" s="5">
        <f>AM4/AO4</f>
        <v/>
      </c>
    </row>
    <row r="5">
      <c r="A5" s="2" t="inlineStr"/>
      <c r="B5" s="2" t="inlineStr">
        <is>
          <t>111001098892</t>
        </is>
      </c>
      <c r="C5" s="2" t="inlineStr">
        <is>
          <t>COLEGIO BELLAVISTA (IED)</t>
        </is>
      </c>
      <c r="D5" s="2" t="inlineStr">
        <is>
          <t>SARITA PINTO PEREZ</t>
        </is>
      </c>
      <c r="E5" s="2" t="inlineStr">
        <is>
          <t>1141359897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4">
        <f>COUNTIF(J5:AL5,"CORRECTO")</f>
        <v/>
      </c>
      <c r="AN5" s="4">
        <f>COUNTIF(J5:AL5,"INCORRECTO")</f>
        <v/>
      </c>
      <c r="AO5" s="4" t="n">
        <v>15</v>
      </c>
      <c r="AP5" s="5">
        <f>AM5/AO5</f>
        <v/>
      </c>
    </row>
    <row r="6">
      <c r="A6" s="2" t="inlineStr"/>
      <c r="B6" s="2" t="inlineStr">
        <is>
          <t>111001098892</t>
        </is>
      </c>
      <c r="C6" s="2" t="inlineStr">
        <is>
          <t>COLEGIO BELLAVISTA (IED)</t>
        </is>
      </c>
      <c r="D6" s="2" t="inlineStr">
        <is>
          <t>MARIA PAULA ROBLES CORREDOR</t>
        </is>
      </c>
      <c r="E6" s="2" t="inlineStr">
        <is>
          <t>1141362047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6" t="inlineStr">
        <is>
          <t>INCORRECTO</t>
        </is>
      </c>
      <c r="U6" s="2" t="inlineStr">
        <is>
          <t>C</t>
        </is>
      </c>
      <c r="V6" s="6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6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6" t="inlineStr">
        <is>
          <t>INCORRECTO</t>
        </is>
      </c>
      <c r="AK6" s="2" t="inlineStr">
        <is>
          <t>C</t>
        </is>
      </c>
      <c r="AL6" s="6" t="inlineStr">
        <is>
          <t>INCORRECTO</t>
        </is>
      </c>
      <c r="AM6" s="4">
        <f>COUNTIF(J6:AL6,"CORRECTO")</f>
        <v/>
      </c>
      <c r="AN6" s="4">
        <f>COUNTIF(J6:AL6,"INCORRECTO")</f>
        <v/>
      </c>
      <c r="AO6" s="4" t="n">
        <v>15</v>
      </c>
      <c r="AP6" s="5">
        <f>AM6/AO6</f>
        <v/>
      </c>
    </row>
    <row r="7">
      <c r="A7" s="2" t="inlineStr"/>
      <c r="B7" s="2" t="inlineStr">
        <is>
          <t>111001098892</t>
        </is>
      </c>
      <c r="C7" s="2" t="inlineStr">
        <is>
          <t>COLEGIO BELLAVISTA (IED)</t>
        </is>
      </c>
      <c r="D7" s="2" t="inlineStr">
        <is>
          <t>MARIA PAULA ROBLES CORREDOR</t>
        </is>
      </c>
      <c r="E7" s="2" t="inlineStr">
        <is>
          <t>1141362047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6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6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4">
        <f>COUNTIF(J7:AL7,"CORRECTO")</f>
        <v/>
      </c>
      <c r="AN7" s="4">
        <f>COUNTIF(J7:AL7,"INCORRECTO")</f>
        <v/>
      </c>
      <c r="AO7" s="4" t="n">
        <v>15</v>
      </c>
      <c r="AP7" s="5">
        <f>AM7/AO7</f>
        <v/>
      </c>
    </row>
    <row r="8">
      <c r="A8" s="2" t="inlineStr"/>
      <c r="B8" s="2" t="inlineStr">
        <is>
          <t>111001098892</t>
        </is>
      </c>
      <c r="C8" s="2" t="inlineStr">
        <is>
          <t>COLEGIO BELLAVISTA (IED)</t>
        </is>
      </c>
      <c r="D8" s="2" t="inlineStr">
        <is>
          <t>THIAGO CORONADO PACHECO</t>
        </is>
      </c>
      <c r="E8" s="2" t="inlineStr">
        <is>
          <t>1233510062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6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6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6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4">
        <f>COUNTIF(J8:AL8,"CORRECTO")</f>
        <v/>
      </c>
      <c r="AN8" s="4">
        <f>COUNTIF(J8:AL8,"INCORRECTO")</f>
        <v/>
      </c>
      <c r="AO8" s="4" t="n">
        <v>15</v>
      </c>
      <c r="AP8" s="5">
        <f>AM8/AO8</f>
        <v/>
      </c>
    </row>
    <row r="9">
      <c r="A9" s="2" t="inlineStr"/>
      <c r="B9" s="2" t="inlineStr">
        <is>
          <t>111001098892</t>
        </is>
      </c>
      <c r="C9" s="2" t="inlineStr">
        <is>
          <t>COLEGIO BELLAVISTA (IED)</t>
        </is>
      </c>
      <c r="D9" s="2" t="inlineStr">
        <is>
          <t>THIAGO CORONADO PACHECO</t>
        </is>
      </c>
      <c r="E9" s="2" t="inlineStr">
        <is>
          <t>1233510062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4">
        <f>COUNTIF(J9:AL9,"CORRECTO")</f>
        <v/>
      </c>
      <c r="AN9" s="4">
        <f>COUNTIF(J9:AL9,"INCORRECTO")</f>
        <v/>
      </c>
      <c r="AO9" s="4" t="n">
        <v>15</v>
      </c>
      <c r="AP9" s="5">
        <f>AM9/AO9</f>
        <v/>
      </c>
    </row>
    <row r="10">
      <c r="A10" s="2" t="inlineStr"/>
      <c r="B10" s="2" t="inlineStr">
        <is>
          <t>111001098892</t>
        </is>
      </c>
      <c r="C10" s="2" t="inlineStr">
        <is>
          <t>COLEGIO BELLAVISTA (IED)</t>
        </is>
      </c>
      <c r="D10" s="2" t="inlineStr">
        <is>
          <t>AMAIA DE LOS ANGELES AULAR FONTANILLA</t>
        </is>
      </c>
      <c r="E10" s="2" t="inlineStr">
        <is>
          <t>1233511156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6" t="inlineStr">
        <is>
          <t>INCORRECTO</t>
        </is>
      </c>
      <c r="M10" s="2" t="inlineStr">
        <is>
          <t>A</t>
        </is>
      </c>
      <c r="N10" s="6" t="inlineStr">
        <is>
          <t>INCORRECTO</t>
        </is>
      </c>
      <c r="O10" s="2" t="inlineStr">
        <is>
          <t>D</t>
        </is>
      </c>
      <c r="P10" s="6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6" t="inlineStr">
        <is>
          <t>INCORRECTO</t>
        </is>
      </c>
      <c r="U10" s="2" t="inlineStr">
        <is>
          <t>A</t>
        </is>
      </c>
      <c r="V10" s="6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6" t="inlineStr">
        <is>
          <t>INCORRECTO</t>
        </is>
      </c>
      <c r="AA10" s="2" t="inlineStr">
        <is>
          <t>A</t>
        </is>
      </c>
      <c r="AB10" s="6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4">
        <f>COUNTIF(J10:AL10,"CORRECTO")</f>
        <v/>
      </c>
      <c r="AN10" s="4">
        <f>COUNTIF(J10:AL10,"INCORRECTO")</f>
        <v/>
      </c>
      <c r="AO10" s="4" t="n">
        <v>15</v>
      </c>
      <c r="AP10" s="5">
        <f>AM10/AO10</f>
        <v/>
      </c>
    </row>
    <row r="11">
      <c r="A11" s="2" t="inlineStr"/>
      <c r="B11" s="2" t="inlineStr">
        <is>
          <t>111001098892</t>
        </is>
      </c>
      <c r="C11" s="2" t="inlineStr">
        <is>
          <t>COLEGIO BELLAVISTA (IED)</t>
        </is>
      </c>
      <c r="D11" s="2" t="inlineStr">
        <is>
          <t>AMAIA DE LOS ANGELES AULAR FONTANILLA</t>
        </is>
      </c>
      <c r="E11" s="2" t="inlineStr">
        <is>
          <t>1233511156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6" t="inlineStr">
        <is>
          <t>INCORRECTO</t>
        </is>
      </c>
      <c r="W11" s="2" t="inlineStr">
        <is>
          <t>B</t>
        </is>
      </c>
      <c r="X11" s="6" t="inlineStr">
        <is>
          <t>INCORRECTO</t>
        </is>
      </c>
      <c r="Y11" s="2" t="inlineStr">
        <is>
          <t>D</t>
        </is>
      </c>
      <c r="Z11" s="6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6" t="inlineStr">
        <is>
          <t>INCORRECTO</t>
        </is>
      </c>
      <c r="AE11" s="2" t="inlineStr">
        <is>
          <t>A</t>
        </is>
      </c>
      <c r="AF11" s="6" t="inlineStr">
        <is>
          <t>INCORRECTO</t>
        </is>
      </c>
      <c r="AG11" s="2" t="inlineStr">
        <is>
          <t>B</t>
        </is>
      </c>
      <c r="AH11" s="6" t="inlineStr">
        <is>
          <t>INCORRECTO</t>
        </is>
      </c>
      <c r="AI11" s="2" t="inlineStr">
        <is>
          <t>D</t>
        </is>
      </c>
      <c r="AJ11" s="6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4">
        <f>COUNTIF(J11:AL11,"CORRECTO")</f>
        <v/>
      </c>
      <c r="AN11" s="4">
        <f>COUNTIF(J11:AL11,"INCORRECTO")</f>
        <v/>
      </c>
      <c r="AO11" s="4" t="n">
        <v>15</v>
      </c>
      <c r="AP11" s="5">
        <f>AM11/AO11</f>
        <v/>
      </c>
    </row>
    <row r="12">
      <c r="A12" s="2" t="inlineStr"/>
      <c r="B12" s="2" t="inlineStr">
        <is>
          <t>111001098892</t>
        </is>
      </c>
      <c r="C12" s="2" t="inlineStr">
        <is>
          <t>COLEGIO BELLAVISTA (IED)</t>
        </is>
      </c>
      <c r="D12" s="2" t="inlineStr">
        <is>
          <t>EMILY LUCIANA CASTAÑEDA MARIN</t>
        </is>
      </c>
      <c r="E12" s="2" t="inlineStr">
        <is>
          <t>1034791479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6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6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6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/>
      <c r="AD12" s="6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4">
        <f>COUNTIF(J12:AL12,"CORRECTO")</f>
        <v/>
      </c>
      <c r="AN12" s="4">
        <f>COUNTIF(J12:AL12,"INCORRECTO")</f>
        <v/>
      </c>
      <c r="AO12" s="4" t="n">
        <v>15</v>
      </c>
      <c r="AP12" s="5">
        <f>AM12/AO12</f>
        <v/>
      </c>
    </row>
    <row r="13">
      <c r="A13" s="2" t="inlineStr"/>
      <c r="B13" s="2" t="inlineStr">
        <is>
          <t>111001098892</t>
        </is>
      </c>
      <c r="C13" s="2" t="inlineStr">
        <is>
          <t>COLEGIO BELLAVISTA (IED)</t>
        </is>
      </c>
      <c r="D13" s="2" t="inlineStr">
        <is>
          <t>EMILY LUCIANA CASTAÑEDA MARIN</t>
        </is>
      </c>
      <c r="E13" s="2" t="inlineStr">
        <is>
          <t>1034791479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6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6" t="inlineStr">
        <is>
          <t>INCORRECTO</t>
        </is>
      </c>
      <c r="AG13" s="2" t="inlineStr">
        <is>
          <t>C</t>
        </is>
      </c>
      <c r="AH13" s="6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4">
        <f>COUNTIF(J13:AL13,"CORRECTO")</f>
        <v/>
      </c>
      <c r="AN13" s="4">
        <f>COUNTIF(J13:AL13,"INCORRECTO")</f>
        <v/>
      </c>
      <c r="AO13" s="4" t="n">
        <v>15</v>
      </c>
      <c r="AP13" s="5">
        <f>AM13/AO13</f>
        <v/>
      </c>
    </row>
    <row r="14">
      <c r="A14" s="2" t="inlineStr"/>
      <c r="B14" s="2" t="inlineStr">
        <is>
          <t>111001098892</t>
        </is>
      </c>
      <c r="C14" s="2" t="inlineStr">
        <is>
          <t>COLEGIO BELLAVISTA (IED)</t>
        </is>
      </c>
      <c r="D14" s="2" t="inlineStr">
        <is>
          <t>SOL MARIA RODRIGUEZ FRANCO</t>
        </is>
      </c>
      <c r="E14" s="2" t="inlineStr">
        <is>
          <t>1201265746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6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6" t="inlineStr">
        <is>
          <t>INCORRECTO</t>
        </is>
      </c>
      <c r="W14" s="2" t="inlineStr">
        <is>
          <t>C</t>
        </is>
      </c>
      <c r="X14" s="6" t="inlineStr">
        <is>
          <t>INCORRECTO</t>
        </is>
      </c>
      <c r="Y14" s="2" t="inlineStr">
        <is>
          <t>B</t>
        </is>
      </c>
      <c r="Z14" s="6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4">
        <f>COUNTIF(J14:AL14,"CORRECTO")</f>
        <v/>
      </c>
      <c r="AN14" s="4">
        <f>COUNTIF(J14:AL14,"INCORRECTO")</f>
        <v/>
      </c>
      <c r="AO14" s="4" t="n">
        <v>15</v>
      </c>
      <c r="AP14" s="5">
        <f>AM14/AO14</f>
        <v/>
      </c>
    </row>
    <row r="15">
      <c r="A15" s="2" t="inlineStr"/>
      <c r="B15" s="2" t="inlineStr">
        <is>
          <t>111001098892</t>
        </is>
      </c>
      <c r="C15" s="2" t="inlineStr">
        <is>
          <t>COLEGIO BELLAVISTA (IED)</t>
        </is>
      </c>
      <c r="D15" s="2" t="inlineStr">
        <is>
          <t>SOL MARIA RODRIGUEZ FRANCO</t>
        </is>
      </c>
      <c r="E15" s="2" t="inlineStr">
        <is>
          <t>1201265746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6" t="inlineStr">
        <is>
          <t>INCORRECTO</t>
        </is>
      </c>
      <c r="AG15" s="2" t="inlineStr">
        <is>
          <t>C</t>
        </is>
      </c>
      <c r="AH15" s="6" t="inlineStr">
        <is>
          <t>INCORRECTO</t>
        </is>
      </c>
      <c r="AI15" s="2" t="inlineStr">
        <is>
          <t>D</t>
        </is>
      </c>
      <c r="AJ15" s="6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4">
        <f>COUNTIF(J15:AL15,"CORRECTO")</f>
        <v/>
      </c>
      <c r="AN15" s="4">
        <f>COUNTIF(J15:AL15,"INCORRECTO")</f>
        <v/>
      </c>
      <c r="AO15" s="4" t="n">
        <v>15</v>
      </c>
      <c r="AP15" s="5">
        <f>AM15/AO15</f>
        <v/>
      </c>
    </row>
    <row r="16">
      <c r="A16" s="2" t="inlineStr"/>
      <c r="B16" s="2" t="inlineStr">
        <is>
          <t>111001098892</t>
        </is>
      </c>
      <c r="C16" s="2" t="inlineStr">
        <is>
          <t>COLEGIO BELLAVISTA (IED)</t>
        </is>
      </c>
      <c r="D16" s="2" t="inlineStr">
        <is>
          <t>DIANA VALENTINA SIERRA PEÑA</t>
        </is>
      </c>
      <c r="E16" s="2" t="inlineStr">
        <is>
          <t>1233508808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6" t="inlineStr">
        <is>
          <t>INCORRECTO</t>
        </is>
      </c>
      <c r="M16" s="2" t="inlineStr">
        <is>
          <t>B</t>
        </is>
      </c>
      <c r="N16" s="6" t="inlineStr">
        <is>
          <t>INCORRECTO</t>
        </is>
      </c>
      <c r="O16" s="2" t="inlineStr">
        <is>
          <t>D</t>
        </is>
      </c>
      <c r="P16" s="6" t="inlineStr">
        <is>
          <t>INCORRECTO</t>
        </is>
      </c>
      <c r="Q16" s="2" t="inlineStr">
        <is>
          <t>C</t>
        </is>
      </c>
      <c r="R16" s="6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6" t="inlineStr">
        <is>
          <t>INCORRECTO</t>
        </is>
      </c>
      <c r="W16" s="2" t="inlineStr">
        <is>
          <t>B</t>
        </is>
      </c>
      <c r="X16" s="6" t="inlineStr">
        <is>
          <t>INCORRECTO</t>
        </is>
      </c>
      <c r="Y16" s="2" t="inlineStr">
        <is>
          <t>B</t>
        </is>
      </c>
      <c r="Z16" s="6" t="inlineStr">
        <is>
          <t>INCORRECTO</t>
        </is>
      </c>
      <c r="AA16" s="2" t="inlineStr">
        <is>
          <t>D</t>
        </is>
      </c>
      <c r="AB16" s="6" t="inlineStr">
        <is>
          <t>INCORRECTO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4">
        <f>COUNTIF(J16:AL16,"CORRECTO")</f>
        <v/>
      </c>
      <c r="AN16" s="4">
        <f>COUNTIF(J16:AL16,"INCORRECTO")</f>
        <v/>
      </c>
      <c r="AO16" s="4" t="n">
        <v>15</v>
      </c>
      <c r="AP16" s="5">
        <f>AM16/AO16</f>
        <v/>
      </c>
    </row>
    <row r="17">
      <c r="A17" s="2" t="inlineStr"/>
      <c r="B17" s="2" t="inlineStr">
        <is>
          <t>111001098892</t>
        </is>
      </c>
      <c r="C17" s="2" t="inlineStr">
        <is>
          <t>COLEGIO BELLAVISTA (IED)</t>
        </is>
      </c>
      <c r="D17" s="2" t="inlineStr">
        <is>
          <t>DIANA VALENTINA SIERRA PEÑA</t>
        </is>
      </c>
      <c r="E17" s="2" t="inlineStr">
        <is>
          <t>1233508808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6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6" t="inlineStr">
        <is>
          <t>INCORRECTO</t>
        </is>
      </c>
      <c r="AM17" s="4">
        <f>COUNTIF(J17:AL17,"CORRECTO")</f>
        <v/>
      </c>
      <c r="AN17" s="4">
        <f>COUNTIF(J17:AL17,"INCORRECTO")</f>
        <v/>
      </c>
      <c r="AO17" s="4" t="n">
        <v>15</v>
      </c>
      <c r="AP17" s="5">
        <f>AM17/AO17</f>
        <v/>
      </c>
    </row>
    <row r="18">
      <c r="A18" s="2" t="inlineStr"/>
      <c r="B18" s="2" t="inlineStr">
        <is>
          <t>111001098892</t>
        </is>
      </c>
      <c r="C18" s="2" t="inlineStr">
        <is>
          <t>COLEGIO BELLAVISTA (IED)</t>
        </is>
      </c>
      <c r="D18" s="2" t="inlineStr">
        <is>
          <t>WILMER ALEJANDRO MENDOZA CASTRO</t>
        </is>
      </c>
      <c r="E18" s="2" t="inlineStr">
        <is>
          <t>1141365992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C</t>
        </is>
      </c>
      <c r="L18" s="6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4">
        <f>COUNTIF(J18:AL18,"CORRECTO")</f>
        <v/>
      </c>
      <c r="AN18" s="4">
        <f>COUNTIF(J18:AL18,"INCORRECTO")</f>
        <v/>
      </c>
      <c r="AO18" s="4" t="n">
        <v>15</v>
      </c>
      <c r="AP18" s="5">
        <f>AM18/AO18</f>
        <v/>
      </c>
    </row>
    <row r="19">
      <c r="A19" s="2" t="inlineStr"/>
      <c r="B19" s="2" t="inlineStr">
        <is>
          <t>111001098892</t>
        </is>
      </c>
      <c r="C19" s="2" t="inlineStr">
        <is>
          <t>COLEGIO BELLAVISTA (IED)</t>
        </is>
      </c>
      <c r="D19" s="2" t="inlineStr">
        <is>
          <t>WILMER ALEJANDRO MENDOZA CASTRO</t>
        </is>
      </c>
      <c r="E19" s="2" t="inlineStr">
        <is>
          <t>1141365992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6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4">
        <f>COUNTIF(J19:AL19,"CORRECTO")</f>
        <v/>
      </c>
      <c r="AN19" s="4">
        <f>COUNTIF(J19:AL19,"INCORRECTO")</f>
        <v/>
      </c>
      <c r="AO19" s="4" t="n">
        <v>15</v>
      </c>
      <c r="AP19" s="5">
        <f>AM19/AO19</f>
        <v/>
      </c>
    </row>
    <row r="20">
      <c r="A20" s="2" t="inlineStr"/>
      <c r="B20" s="2" t="inlineStr">
        <is>
          <t>111001098892</t>
        </is>
      </c>
      <c r="C20" s="2" t="inlineStr">
        <is>
          <t>COLEGIO BELLAVISTA (IED)</t>
        </is>
      </c>
      <c r="D20" s="2" t="inlineStr">
        <is>
          <t>IORY SANTIAGO GALINDO MARIN</t>
        </is>
      </c>
      <c r="E20" s="2" t="inlineStr">
        <is>
          <t>1141358810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C</t>
        </is>
      </c>
      <c r="V20" s="6" t="inlineStr">
        <is>
          <t>INCORRECTO</t>
        </is>
      </c>
      <c r="W20" s="2" t="inlineStr">
        <is>
          <t>B</t>
        </is>
      </c>
      <c r="X20" s="6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6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4">
        <f>COUNTIF(J20:AL20,"CORRECTO")</f>
        <v/>
      </c>
      <c r="AN20" s="4">
        <f>COUNTIF(J20:AL20,"INCORRECTO")</f>
        <v/>
      </c>
      <c r="AO20" s="4" t="n">
        <v>15</v>
      </c>
      <c r="AP20" s="5">
        <f>AM20/AO20</f>
        <v/>
      </c>
    </row>
    <row r="21">
      <c r="A21" s="2" t="inlineStr"/>
      <c r="B21" s="2" t="inlineStr">
        <is>
          <t>111001098892</t>
        </is>
      </c>
      <c r="C21" s="2" t="inlineStr">
        <is>
          <t>COLEGIO BELLAVISTA (IED)</t>
        </is>
      </c>
      <c r="D21" s="2" t="inlineStr">
        <is>
          <t>IORY SANTIAGO GALINDO MARIN</t>
        </is>
      </c>
      <c r="E21" s="2" t="inlineStr">
        <is>
          <t>1141358810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4">
        <f>COUNTIF(J21:AL21,"CORRECTO")</f>
        <v/>
      </c>
      <c r="AN21" s="4">
        <f>COUNTIF(J21:AL21,"INCORRECTO")</f>
        <v/>
      </c>
      <c r="AO21" s="4" t="n">
        <v>15</v>
      </c>
      <c r="AP21" s="5">
        <f>AM21/AO21</f>
        <v/>
      </c>
    </row>
    <row r="22">
      <c r="A22" s="2" t="inlineStr"/>
      <c r="B22" s="2" t="inlineStr">
        <is>
          <t>111001098892</t>
        </is>
      </c>
      <c r="C22" s="2" t="inlineStr">
        <is>
          <t>COLEGIO BELLAVISTA (IED)</t>
        </is>
      </c>
      <c r="D22" s="2" t="inlineStr">
        <is>
          <t>ARIANA LUCIA ACOSTA LOPEZ</t>
        </is>
      </c>
      <c r="E22" s="2" t="inlineStr">
        <is>
          <t>1141359593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6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6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4">
        <f>COUNTIF(J22:AL22,"CORRECTO")</f>
        <v/>
      </c>
      <c r="AN22" s="4">
        <f>COUNTIF(J22:AL22,"INCORRECTO")</f>
        <v/>
      </c>
      <c r="AO22" s="4" t="n">
        <v>15</v>
      </c>
      <c r="AP22" s="5">
        <f>AM22/AO22</f>
        <v/>
      </c>
    </row>
    <row r="23">
      <c r="A23" s="2" t="inlineStr"/>
      <c r="B23" s="2" t="inlineStr">
        <is>
          <t>111001098892</t>
        </is>
      </c>
      <c r="C23" s="2" t="inlineStr">
        <is>
          <t>COLEGIO BELLAVISTA (IED)</t>
        </is>
      </c>
      <c r="D23" s="2" t="inlineStr">
        <is>
          <t>ARIANA LUCIA ACOSTA LOPEZ</t>
        </is>
      </c>
      <c r="E23" s="2" t="inlineStr">
        <is>
          <t>1141359593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4">
        <f>COUNTIF(J23:AL23,"CORRECTO")</f>
        <v/>
      </c>
      <c r="AN23" s="4">
        <f>COUNTIF(J23:AL23,"INCORRECTO")</f>
        <v/>
      </c>
      <c r="AO23" s="4" t="n">
        <v>15</v>
      </c>
      <c r="AP23" s="5">
        <f>AM23/AO23</f>
        <v/>
      </c>
    </row>
    <row r="24">
      <c r="A24" s="2" t="inlineStr"/>
      <c r="B24" s="2" t="inlineStr">
        <is>
          <t>111001098892</t>
        </is>
      </c>
      <c r="C24" s="2" t="inlineStr">
        <is>
          <t>COLEGIO BELLAVISTA (IED)</t>
        </is>
      </c>
      <c r="D24" s="2" t="inlineStr">
        <is>
          <t>THIAGO DAVID BUSTILLO MACIAS</t>
        </is>
      </c>
      <c r="E24" s="2" t="inlineStr">
        <is>
          <t>1030702550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B</t>
        </is>
      </c>
      <c r="J24" s="6" t="inlineStr">
        <is>
          <t>INCORRECTO</t>
        </is>
      </c>
      <c r="K24" s="2" t="inlineStr">
        <is>
          <t>C</t>
        </is>
      </c>
      <c r="L24" s="6" t="inlineStr">
        <is>
          <t>INCORRECTO</t>
        </is>
      </c>
      <c r="M24" s="2" t="inlineStr">
        <is>
          <t>A</t>
        </is>
      </c>
      <c r="N24" s="6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6" t="inlineStr">
        <is>
          <t>INCORRECTO</t>
        </is>
      </c>
      <c r="U24" s="2" t="inlineStr">
        <is>
          <t>A</t>
        </is>
      </c>
      <c r="V24" s="6" t="inlineStr">
        <is>
          <t>INCORRECTO</t>
        </is>
      </c>
      <c r="W24" s="2" t="inlineStr">
        <is>
          <t>C</t>
        </is>
      </c>
      <c r="X24" s="6" t="inlineStr">
        <is>
          <t>INCORRECTO</t>
        </is>
      </c>
      <c r="Y24" s="2" t="inlineStr">
        <is>
          <t>A</t>
        </is>
      </c>
      <c r="Z24" s="6" t="inlineStr">
        <is>
          <t>INCORRECTO</t>
        </is>
      </c>
      <c r="AA24" s="2" t="inlineStr">
        <is>
          <t>B</t>
        </is>
      </c>
      <c r="AB24" s="6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6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4">
        <f>COUNTIF(J24:AL24,"CORRECTO")</f>
        <v/>
      </c>
      <c r="AN24" s="4">
        <f>COUNTIF(J24:AL24,"INCORRECTO")</f>
        <v/>
      </c>
      <c r="AO24" s="4" t="n">
        <v>15</v>
      </c>
      <c r="AP24" s="5">
        <f>AM24/AO24</f>
        <v/>
      </c>
    </row>
    <row r="25">
      <c r="A25" s="2" t="inlineStr"/>
      <c r="B25" s="2" t="inlineStr">
        <is>
          <t>111001098892</t>
        </is>
      </c>
      <c r="C25" s="2" t="inlineStr">
        <is>
          <t>COLEGIO BELLAVISTA (IED)</t>
        </is>
      </c>
      <c r="D25" s="2" t="inlineStr">
        <is>
          <t>THIAGO DAVID BUSTILLO MACIAS</t>
        </is>
      </c>
      <c r="E25" s="2" t="inlineStr">
        <is>
          <t>1030702550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6" t="inlineStr">
        <is>
          <t>INCORRECTO</t>
        </is>
      </c>
      <c r="AE25" s="2" t="inlineStr">
        <is>
          <t>D</t>
        </is>
      </c>
      <c r="AF25" s="6" t="inlineStr">
        <is>
          <t>INCORRECTO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4">
        <f>COUNTIF(J25:AL25,"CORRECTO")</f>
        <v/>
      </c>
      <c r="AN25" s="4">
        <f>COUNTIF(J25:AL25,"INCORRECTO")</f>
        <v/>
      </c>
      <c r="AO25" s="4" t="n">
        <v>15</v>
      </c>
      <c r="AP25" s="5">
        <f>AM25/AO25</f>
        <v/>
      </c>
    </row>
    <row r="26">
      <c r="A26" s="2" t="inlineStr"/>
      <c r="B26" s="2" t="inlineStr">
        <is>
          <t>111001098892</t>
        </is>
      </c>
      <c r="C26" s="2" t="inlineStr">
        <is>
          <t>COLEGIO BELLAVISTA (IED)</t>
        </is>
      </c>
      <c r="D26" s="2" t="inlineStr">
        <is>
          <t>VALERY ALDANA YARA</t>
        </is>
      </c>
      <c r="E26" s="2" t="inlineStr">
        <is>
          <t>1233509366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B</t>
        </is>
      </c>
      <c r="J26" s="6" t="inlineStr">
        <is>
          <t>INCORRECTO</t>
        </is>
      </c>
      <c r="K26" s="2" t="inlineStr">
        <is>
          <t>A</t>
        </is>
      </c>
      <c r="L26" s="6" t="inlineStr">
        <is>
          <t>INCORRECTO</t>
        </is>
      </c>
      <c r="M26" s="2" t="inlineStr">
        <is>
          <t>B</t>
        </is>
      </c>
      <c r="N26" s="6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6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6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4">
        <f>COUNTIF(J26:AL26,"CORRECTO")</f>
        <v/>
      </c>
      <c r="AN26" s="4">
        <f>COUNTIF(J26:AL26,"INCORRECTO")</f>
        <v/>
      </c>
      <c r="AO26" s="4" t="n">
        <v>15</v>
      </c>
      <c r="AP26" s="5">
        <f>AM26/AO26</f>
        <v/>
      </c>
    </row>
    <row r="27">
      <c r="A27" s="2" t="inlineStr"/>
      <c r="B27" s="2" t="inlineStr">
        <is>
          <t>111001098892</t>
        </is>
      </c>
      <c r="C27" s="2" t="inlineStr">
        <is>
          <t>COLEGIO BELLAVISTA (IED)</t>
        </is>
      </c>
      <c r="D27" s="2" t="inlineStr">
        <is>
          <t>VALERY ALDANA YARA</t>
        </is>
      </c>
      <c r="E27" s="2" t="inlineStr">
        <is>
          <t>1233509366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4">
        <f>COUNTIF(J27:AL27,"CORRECTO")</f>
        <v/>
      </c>
      <c r="AN27" s="4">
        <f>COUNTIF(J27:AL27,"INCORRECTO")</f>
        <v/>
      </c>
      <c r="AO27" s="4" t="n">
        <v>15</v>
      </c>
      <c r="AP27" s="5">
        <f>AM27/AO27</f>
        <v/>
      </c>
    </row>
    <row r="28">
      <c r="A28" s="2" t="inlineStr"/>
      <c r="B28" s="2" t="inlineStr">
        <is>
          <t>111001098892</t>
        </is>
      </c>
      <c r="C28" s="2" t="inlineStr">
        <is>
          <t>COLEGIO BELLAVISTA (IED)</t>
        </is>
      </c>
      <c r="D28" s="2" t="inlineStr">
        <is>
          <t>MARIAN SOFIA TORRES CORREDOR</t>
        </is>
      </c>
      <c r="E28" s="2" t="inlineStr">
        <is>
          <t>1141358121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6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6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6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B</t>
        </is>
      </c>
      <c r="AL28" s="6" t="inlineStr">
        <is>
          <t>INCORRECTO</t>
        </is>
      </c>
      <c r="AM28" s="4">
        <f>COUNTIF(J28:AL28,"CORRECTO")</f>
        <v/>
      </c>
      <c r="AN28" s="4">
        <f>COUNTIF(J28:AL28,"INCORRECTO")</f>
        <v/>
      </c>
      <c r="AO28" s="4" t="n">
        <v>15</v>
      </c>
      <c r="AP28" s="5">
        <f>AM28/AO28</f>
        <v/>
      </c>
    </row>
    <row r="29">
      <c r="A29" s="2" t="inlineStr"/>
      <c r="B29" s="2" t="inlineStr">
        <is>
          <t>111001098892</t>
        </is>
      </c>
      <c r="C29" s="2" t="inlineStr">
        <is>
          <t>COLEGIO BELLAVISTA (IED)</t>
        </is>
      </c>
      <c r="D29" s="2" t="inlineStr">
        <is>
          <t>MARIAN SOFIA TORRES CORREDOR</t>
        </is>
      </c>
      <c r="E29" s="2" t="inlineStr">
        <is>
          <t>1141358121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6" t="inlineStr">
        <is>
          <t>INCORRECTO</t>
        </is>
      </c>
      <c r="Q29" s="2" t="inlineStr">
        <is>
          <t>A</t>
        </is>
      </c>
      <c r="R29" s="6" t="inlineStr">
        <is>
          <t>INCORRECTO</t>
        </is>
      </c>
      <c r="S29" s="2" t="inlineStr">
        <is>
          <t>C</t>
        </is>
      </c>
      <c r="T29" s="6" t="inlineStr">
        <is>
          <t>INCORRECTO</t>
        </is>
      </c>
      <c r="U29" s="2" t="inlineStr">
        <is>
          <t>A</t>
        </is>
      </c>
      <c r="V29" s="6" t="inlineStr">
        <is>
          <t>INCORRECTO</t>
        </is>
      </c>
      <c r="W29" s="2" t="inlineStr">
        <is>
          <t>D</t>
        </is>
      </c>
      <c r="X29" s="6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6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6" t="inlineStr">
        <is>
          <t>INCORRECTO</t>
        </is>
      </c>
      <c r="AI29" s="2" t="inlineStr">
        <is>
          <t>C</t>
        </is>
      </c>
      <c r="AJ29" s="6" t="inlineStr">
        <is>
          <t>INCORRECTO</t>
        </is>
      </c>
      <c r="AK29" s="2" t="inlineStr">
        <is>
          <t>C</t>
        </is>
      </c>
      <c r="AL29" s="6" t="inlineStr">
        <is>
          <t>INCORRECTO</t>
        </is>
      </c>
      <c r="AM29" s="4">
        <f>COUNTIF(J29:AL29,"CORRECTO")</f>
        <v/>
      </c>
      <c r="AN29" s="4">
        <f>COUNTIF(J29:AL29,"INCORRECTO")</f>
        <v/>
      </c>
      <c r="AO29" s="4" t="n">
        <v>15</v>
      </c>
      <c r="AP29" s="5">
        <f>AM29/AO29</f>
        <v/>
      </c>
    </row>
    <row r="30">
      <c r="A30" s="2" t="inlineStr"/>
      <c r="B30" s="2" t="inlineStr">
        <is>
          <t>111001098892</t>
        </is>
      </c>
      <c r="C30" s="2" t="inlineStr">
        <is>
          <t>COLEGIO BELLAVISTA (IED)</t>
        </is>
      </c>
      <c r="D30" s="2" t="inlineStr">
        <is>
          <t>ALEIX EMMANUEL HOYOS MENA</t>
        </is>
      </c>
      <c r="E30" s="2" t="inlineStr">
        <is>
          <t>1206222960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C</t>
        </is>
      </c>
      <c r="L30" s="6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6" t="inlineStr">
        <is>
          <t>INCORRECTO</t>
        </is>
      </c>
      <c r="Q30" s="2" t="inlineStr">
        <is>
          <t>D</t>
        </is>
      </c>
      <c r="R30" s="6" t="inlineStr">
        <is>
          <t>INCORRECTO</t>
        </is>
      </c>
      <c r="S30" s="2" t="inlineStr">
        <is>
          <t>A</t>
        </is>
      </c>
      <c r="T30" s="6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6" t="inlineStr">
        <is>
          <t>INCORRECTO</t>
        </is>
      </c>
      <c r="Y30" s="2" t="inlineStr">
        <is>
          <t>A</t>
        </is>
      </c>
      <c r="Z30" s="6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6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6" t="inlineStr">
        <is>
          <t>INCORRECTO</t>
        </is>
      </c>
      <c r="AM30" s="4">
        <f>COUNTIF(J30:AL30,"CORRECTO")</f>
        <v/>
      </c>
      <c r="AN30" s="4">
        <f>COUNTIF(J30:AL30,"INCORRECTO")</f>
        <v/>
      </c>
      <c r="AO30" s="4" t="n">
        <v>15</v>
      </c>
      <c r="AP30" s="5">
        <f>AM30/AO30</f>
        <v/>
      </c>
    </row>
    <row r="31">
      <c r="A31" s="2" t="inlineStr"/>
      <c r="B31" s="2" t="inlineStr">
        <is>
          <t>111001098892</t>
        </is>
      </c>
      <c r="C31" s="2" t="inlineStr">
        <is>
          <t>COLEGIO BELLAVISTA (IED)</t>
        </is>
      </c>
      <c r="D31" s="2" t="inlineStr">
        <is>
          <t>ALEIX EMMANUEL HOYOS MENA</t>
        </is>
      </c>
      <c r="E31" s="2" t="inlineStr">
        <is>
          <t>1206222960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A</t>
        </is>
      </c>
      <c r="J31" s="6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A</t>
        </is>
      </c>
      <c r="P31" s="6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6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6" t="inlineStr">
        <is>
          <t>INCORRECTO</t>
        </is>
      </c>
      <c r="AM31" s="4">
        <f>COUNTIF(J31:AL31,"CORRECTO")</f>
        <v/>
      </c>
      <c r="AN31" s="4">
        <f>COUNTIF(J31:AL31,"INCORRECTO")</f>
        <v/>
      </c>
      <c r="AO31" s="4" t="n">
        <v>15</v>
      </c>
      <c r="AP31" s="5">
        <f>AM31/AO31</f>
        <v/>
      </c>
    </row>
    <row r="32">
      <c r="A32" s="2" t="inlineStr"/>
      <c r="B32" s="2" t="inlineStr">
        <is>
          <t>111001098892</t>
        </is>
      </c>
      <c r="C32" s="2" t="inlineStr">
        <is>
          <t>COLEGIO BELLAVISTA (IED)</t>
        </is>
      </c>
      <c r="D32" s="2" t="inlineStr">
        <is>
          <t>SAMANTHA CAMILA VERA ROCHA</t>
        </is>
      </c>
      <c r="E32" s="2" t="inlineStr">
        <is>
          <t>1141362036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6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6" t="inlineStr">
        <is>
          <t>INCORRECTO</t>
        </is>
      </c>
      <c r="Y32" s="2" t="inlineStr">
        <is>
          <t>A</t>
        </is>
      </c>
      <c r="Z32" s="6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6" t="inlineStr">
        <is>
          <t>INCORRECTO</t>
        </is>
      </c>
      <c r="AM32" s="4">
        <f>COUNTIF(J32:AL32,"CORRECTO")</f>
        <v/>
      </c>
      <c r="AN32" s="4">
        <f>COUNTIF(J32:AL32,"INCORRECTO")</f>
        <v/>
      </c>
      <c r="AO32" s="4" t="n">
        <v>15</v>
      </c>
      <c r="AP32" s="5">
        <f>AM32/AO32</f>
        <v/>
      </c>
    </row>
    <row r="33">
      <c r="A33" s="2" t="inlineStr"/>
      <c r="B33" s="2" t="inlineStr">
        <is>
          <t>111001098892</t>
        </is>
      </c>
      <c r="C33" s="2" t="inlineStr">
        <is>
          <t>COLEGIO BELLAVISTA (IED)</t>
        </is>
      </c>
      <c r="D33" s="2" t="inlineStr">
        <is>
          <t>SAMANTHA CAMILA VERA ROCHA</t>
        </is>
      </c>
      <c r="E33" s="2" t="inlineStr">
        <is>
          <t>1141362036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6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4">
        <f>COUNTIF(J33:AL33,"CORRECTO")</f>
        <v/>
      </c>
      <c r="AN33" s="4">
        <f>COUNTIF(J33:AL33,"INCORRECTO")</f>
        <v/>
      </c>
      <c r="AO33" s="4" t="n">
        <v>15</v>
      </c>
      <c r="AP33" s="5">
        <f>AM33/AO33</f>
        <v/>
      </c>
    </row>
    <row r="34">
      <c r="A34" s="2" t="inlineStr"/>
      <c r="B34" s="2" t="inlineStr">
        <is>
          <t>111001098892</t>
        </is>
      </c>
      <c r="C34" s="2" t="inlineStr">
        <is>
          <t>COLEGIO BELLAVISTA (IED)</t>
        </is>
      </c>
      <c r="D34" s="2" t="inlineStr">
        <is>
          <t>LUCIANA MORA JIMENEZ</t>
        </is>
      </c>
      <c r="E34" s="2" t="inlineStr">
        <is>
          <t>1031849364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C</t>
        </is>
      </c>
      <c r="L34" s="6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6" t="inlineStr">
        <is>
          <t>INCORRECTO</t>
        </is>
      </c>
      <c r="Q34" s="2" t="inlineStr">
        <is>
          <t>C</t>
        </is>
      </c>
      <c r="R34" s="6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D</t>
        </is>
      </c>
      <c r="V34" s="6" t="inlineStr">
        <is>
          <t>INCORRECTO</t>
        </is>
      </c>
      <c r="W34" s="2" t="inlineStr">
        <is>
          <t>B</t>
        </is>
      </c>
      <c r="X34" s="6" t="inlineStr">
        <is>
          <t>INCORRECTO</t>
        </is>
      </c>
      <c r="Y34" s="2" t="inlineStr">
        <is>
          <t>A</t>
        </is>
      </c>
      <c r="Z34" s="6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6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4">
        <f>COUNTIF(J34:AL34,"CORRECTO")</f>
        <v/>
      </c>
      <c r="AN34" s="4">
        <f>COUNTIF(J34:AL34,"INCORRECTO")</f>
        <v/>
      </c>
      <c r="AO34" s="4" t="n">
        <v>15</v>
      </c>
      <c r="AP34" s="5">
        <f>AM34/AO34</f>
        <v/>
      </c>
    </row>
    <row r="35">
      <c r="A35" s="2" t="inlineStr"/>
      <c r="B35" s="2" t="inlineStr">
        <is>
          <t>111001098892</t>
        </is>
      </c>
      <c r="C35" s="2" t="inlineStr">
        <is>
          <t>COLEGIO BELLAVISTA (IED)</t>
        </is>
      </c>
      <c r="D35" s="2" t="inlineStr">
        <is>
          <t>LUCIANA MORA JIMENEZ</t>
        </is>
      </c>
      <c r="E35" s="2" t="inlineStr">
        <is>
          <t>1031849364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6" t="inlineStr">
        <is>
          <t>INCORRECTO</t>
        </is>
      </c>
      <c r="AE35" s="2" t="inlineStr">
        <is>
          <t>C</t>
        </is>
      </c>
      <c r="AF35" s="6" t="inlineStr">
        <is>
          <t>INCORRECTO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6" t="inlineStr">
        <is>
          <t>INCORRECTO</t>
        </is>
      </c>
      <c r="AM35" s="4">
        <f>COUNTIF(J35:AL35,"CORRECTO")</f>
        <v/>
      </c>
      <c r="AN35" s="4">
        <f>COUNTIF(J35:AL35,"INCORRECTO")</f>
        <v/>
      </c>
      <c r="AO35" s="4" t="n">
        <v>15</v>
      </c>
      <c r="AP35" s="5">
        <f>AM35/AO35</f>
        <v/>
      </c>
    </row>
    <row r="36">
      <c r="A36" s="2" t="inlineStr"/>
      <c r="B36" s="2" t="inlineStr">
        <is>
          <t>111001098892</t>
        </is>
      </c>
      <c r="C36" s="2" t="inlineStr">
        <is>
          <t>COLEGIO BELLAVISTA (IED)</t>
        </is>
      </c>
      <c r="D36" s="2" t="inlineStr">
        <is>
          <t>ISIS ISABELLA MEDINA PIÑEROS</t>
        </is>
      </c>
      <c r="E36" s="2" t="inlineStr">
        <is>
          <t>1011250256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6" t="inlineStr">
        <is>
          <t>INCORRECTO</t>
        </is>
      </c>
      <c r="M36" s="2" t="inlineStr">
        <is>
          <t>A</t>
        </is>
      </c>
      <c r="N36" s="6" t="inlineStr">
        <is>
          <t>INCORRECTO</t>
        </is>
      </c>
      <c r="O36" s="2" t="inlineStr">
        <is>
          <t>B</t>
        </is>
      </c>
      <c r="P36" s="6" t="inlineStr">
        <is>
          <t>INCORRECTO</t>
        </is>
      </c>
      <c r="Q36" s="2" t="inlineStr">
        <is>
          <t>C</t>
        </is>
      </c>
      <c r="R36" s="6" t="inlineStr">
        <is>
          <t>INCORRECTO</t>
        </is>
      </c>
      <c r="S36" s="2" t="inlineStr">
        <is>
          <t>B</t>
        </is>
      </c>
      <c r="T36" s="6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6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6" t="inlineStr">
        <is>
          <t>INCORRECTO</t>
        </is>
      </c>
      <c r="AK36" s="2" t="inlineStr">
        <is>
          <t>C</t>
        </is>
      </c>
      <c r="AL36" s="6" t="inlineStr">
        <is>
          <t>INCORRECTO</t>
        </is>
      </c>
      <c r="AM36" s="4">
        <f>COUNTIF(J36:AL36,"CORRECTO")</f>
        <v/>
      </c>
      <c r="AN36" s="4">
        <f>COUNTIF(J36:AL36,"INCORRECTO")</f>
        <v/>
      </c>
      <c r="AO36" s="4" t="n">
        <v>15</v>
      </c>
      <c r="AP36" s="5">
        <f>AM36/AO36</f>
        <v/>
      </c>
    </row>
    <row r="37">
      <c r="A37" s="2" t="inlineStr"/>
      <c r="B37" s="2" t="inlineStr">
        <is>
          <t>111001098892</t>
        </is>
      </c>
      <c r="C37" s="2" t="inlineStr">
        <is>
          <t>COLEGIO BELLAVISTA (IED)</t>
        </is>
      </c>
      <c r="D37" s="2" t="inlineStr">
        <is>
          <t>ISIS ISABELLA MEDINA PIÑEROS</t>
        </is>
      </c>
      <c r="E37" s="2" t="inlineStr">
        <is>
          <t>1011250256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6" t="inlineStr">
        <is>
          <t>INCORRECTO</t>
        </is>
      </c>
      <c r="AE37" s="2" t="inlineStr">
        <is>
          <t>D</t>
        </is>
      </c>
      <c r="AF37" s="6" t="inlineStr">
        <is>
          <t>INCORRECTO</t>
        </is>
      </c>
      <c r="AG37" s="2" t="inlineStr">
        <is>
          <t>C</t>
        </is>
      </c>
      <c r="AH37" s="6" t="inlineStr">
        <is>
          <t>INCORRECTO</t>
        </is>
      </c>
      <c r="AI37" s="2" t="inlineStr">
        <is>
          <t>C</t>
        </is>
      </c>
      <c r="AJ37" s="6" t="inlineStr">
        <is>
          <t>INCORRECTO</t>
        </is>
      </c>
      <c r="AK37" s="2" t="inlineStr">
        <is>
          <t>D</t>
        </is>
      </c>
      <c r="AL37" s="6" t="inlineStr">
        <is>
          <t>INCORRECTO</t>
        </is>
      </c>
      <c r="AM37" s="4">
        <f>COUNTIF(J37:AL37,"CORRECTO")</f>
        <v/>
      </c>
      <c r="AN37" s="4">
        <f>COUNTIF(J37:AL37,"INCORRECTO")</f>
        <v/>
      </c>
      <c r="AO37" s="4" t="n">
        <v>15</v>
      </c>
      <c r="AP37" s="5">
        <f>AM37/AO37</f>
        <v/>
      </c>
    </row>
    <row r="38">
      <c r="A38" s="2" t="inlineStr"/>
      <c r="B38" s="2" t="inlineStr">
        <is>
          <t>111001098892</t>
        </is>
      </c>
      <c r="C38" s="2" t="inlineStr">
        <is>
          <t>COLEGIO BELLAVISTA (IED)</t>
        </is>
      </c>
      <c r="D38" s="2" t="inlineStr">
        <is>
          <t>EVER IVAN BORJA SAYA</t>
        </is>
      </c>
      <c r="E38" s="2" t="inlineStr">
        <is>
          <t>1087212378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6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6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6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4">
        <f>COUNTIF(J38:AL38,"CORRECTO")</f>
        <v/>
      </c>
      <c r="AN38" s="4">
        <f>COUNTIF(J38:AL38,"INCORRECTO")</f>
        <v/>
      </c>
      <c r="AO38" s="4" t="n">
        <v>15</v>
      </c>
      <c r="AP38" s="5">
        <f>AM38/AO38</f>
        <v/>
      </c>
    </row>
    <row r="39">
      <c r="A39" s="2" t="inlineStr"/>
      <c r="B39" s="2" t="inlineStr">
        <is>
          <t>111001098892</t>
        </is>
      </c>
      <c r="C39" s="2" t="inlineStr">
        <is>
          <t>COLEGIO BELLAVISTA (IED)</t>
        </is>
      </c>
      <c r="D39" s="2" t="inlineStr">
        <is>
          <t>EVER IVAN BORJA SAYA</t>
        </is>
      </c>
      <c r="E39" s="2" t="inlineStr">
        <is>
          <t>1087212378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4">
        <f>COUNTIF(J39:AL39,"CORRECTO")</f>
        <v/>
      </c>
      <c r="AN39" s="4">
        <f>COUNTIF(J39:AL39,"INCORRECTO")</f>
        <v/>
      </c>
      <c r="AO39" s="4" t="n">
        <v>15</v>
      </c>
      <c r="AP39" s="5">
        <f>AM39/AO39</f>
        <v/>
      </c>
    </row>
    <row r="40">
      <c r="A40" s="2" t="inlineStr"/>
      <c r="B40" s="2" t="inlineStr">
        <is>
          <t>111001098892</t>
        </is>
      </c>
      <c r="C40" s="2" t="inlineStr">
        <is>
          <t>COLEGIO BELLAVISTA (IED)</t>
        </is>
      </c>
      <c r="D40" s="2" t="inlineStr">
        <is>
          <t>DAVID SANTIAGO ORDOÑEZ MALAVER</t>
        </is>
      </c>
      <c r="E40" s="2" t="inlineStr">
        <is>
          <t>1233510102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D</t>
        </is>
      </c>
      <c r="R40" s="6" t="inlineStr">
        <is>
          <t>INCORRECTO</t>
        </is>
      </c>
      <c r="S40" s="2" t="inlineStr">
        <is>
          <t>B</t>
        </is>
      </c>
      <c r="T40" s="6" t="inlineStr">
        <is>
          <t>INCORRECTO</t>
        </is>
      </c>
      <c r="U40" s="2" t="inlineStr">
        <is>
          <t>D</t>
        </is>
      </c>
      <c r="V40" s="6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6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D</t>
        </is>
      </c>
      <c r="AL40" s="6" t="inlineStr">
        <is>
          <t>INCORRECTO</t>
        </is>
      </c>
      <c r="AM40" s="4">
        <f>COUNTIF(J40:AL40,"CORRECTO")</f>
        <v/>
      </c>
      <c r="AN40" s="4">
        <f>COUNTIF(J40:AL40,"INCORRECTO")</f>
        <v/>
      </c>
      <c r="AO40" s="4" t="n">
        <v>15</v>
      </c>
      <c r="AP40" s="5">
        <f>AM40/AO40</f>
        <v/>
      </c>
    </row>
    <row r="41">
      <c r="A41" s="2" t="inlineStr"/>
      <c r="B41" s="2" t="inlineStr">
        <is>
          <t>111001098892</t>
        </is>
      </c>
      <c r="C41" s="2" t="inlineStr">
        <is>
          <t>COLEGIO BELLAVISTA (IED)</t>
        </is>
      </c>
      <c r="D41" s="2" t="inlineStr">
        <is>
          <t>DAVID SANTIAGO ORDOÑEZ MALAVER</t>
        </is>
      </c>
      <c r="E41" s="2" t="inlineStr">
        <is>
          <t>1233510102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6" t="inlineStr">
        <is>
          <t>INCORRECTO</t>
        </is>
      </c>
      <c r="AE41" s="2" t="inlineStr">
        <is>
          <t>D</t>
        </is>
      </c>
      <c r="AF41" s="6" t="inlineStr">
        <is>
          <t>INCORRECTO</t>
        </is>
      </c>
      <c r="AG41" s="2" t="inlineStr">
        <is>
          <t>C</t>
        </is>
      </c>
      <c r="AH41" s="6" t="inlineStr">
        <is>
          <t>INCORRECTO</t>
        </is>
      </c>
      <c r="AI41" s="2" t="inlineStr">
        <is>
          <t>C</t>
        </is>
      </c>
      <c r="AJ41" s="6" t="inlineStr">
        <is>
          <t>INCORRECTO</t>
        </is>
      </c>
      <c r="AK41" s="2" t="inlineStr">
        <is>
          <t>D</t>
        </is>
      </c>
      <c r="AL41" s="6" t="inlineStr">
        <is>
          <t>INCORRECTO</t>
        </is>
      </c>
      <c r="AM41" s="4">
        <f>COUNTIF(J41:AL41,"CORRECTO")</f>
        <v/>
      </c>
      <c r="AN41" s="4">
        <f>COUNTIF(J41:AL41,"INCORRECTO")</f>
        <v/>
      </c>
      <c r="AO41" s="4" t="n">
        <v>15</v>
      </c>
      <c r="AP41" s="5">
        <f>AM41/AO41</f>
        <v/>
      </c>
    </row>
    <row r="42">
      <c r="A42" s="2" t="inlineStr"/>
      <c r="B42" s="2" t="inlineStr">
        <is>
          <t>111001098892</t>
        </is>
      </c>
      <c r="C42" s="2" t="inlineStr">
        <is>
          <t>COLEGIO BELLAVISTA (IED)</t>
        </is>
      </c>
      <c r="D42" s="2" t="inlineStr">
        <is>
          <t>LIZ SALOME JOYA MELO</t>
        </is>
      </c>
      <c r="E42" s="2" t="inlineStr">
        <is>
          <t>1233513554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A</t>
        </is>
      </c>
      <c r="J42" s="6" t="inlineStr">
        <is>
          <t>INCORRECTO</t>
        </is>
      </c>
      <c r="K42" s="2" t="inlineStr">
        <is>
          <t>A</t>
        </is>
      </c>
      <c r="L42" s="6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6" t="inlineStr">
        <is>
          <t>INCORRECTO</t>
        </is>
      </c>
      <c r="Q42" s="2" t="inlineStr">
        <is>
          <t>D</t>
        </is>
      </c>
      <c r="R42" s="6" t="inlineStr">
        <is>
          <t>INCORRECTO</t>
        </is>
      </c>
      <c r="S42" s="2" t="inlineStr">
        <is>
          <t>A</t>
        </is>
      </c>
      <c r="T42" s="6" t="inlineStr">
        <is>
          <t>INCORRECTO</t>
        </is>
      </c>
      <c r="U42" s="2" t="inlineStr">
        <is>
          <t>C</t>
        </is>
      </c>
      <c r="V42" s="6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6" t="inlineStr">
        <is>
          <t>INCORRECTO</t>
        </is>
      </c>
      <c r="AA42" s="2" t="inlineStr">
        <is>
          <t>D</t>
        </is>
      </c>
      <c r="AB42" s="6" t="inlineStr">
        <is>
          <t>INCORRECTO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6" t="inlineStr">
        <is>
          <t>INCORRECTO</t>
        </is>
      </c>
      <c r="AK42" s="2" t="inlineStr">
        <is>
          <t>C</t>
        </is>
      </c>
      <c r="AL42" s="6" t="inlineStr">
        <is>
          <t>INCORRECTO</t>
        </is>
      </c>
      <c r="AM42" s="4">
        <f>COUNTIF(J42:AL42,"CORRECTO")</f>
        <v/>
      </c>
      <c r="AN42" s="4">
        <f>COUNTIF(J42:AL42,"INCORRECTO")</f>
        <v/>
      </c>
      <c r="AO42" s="4" t="n">
        <v>15</v>
      </c>
      <c r="AP42" s="5">
        <f>AM42/AO42</f>
        <v/>
      </c>
    </row>
    <row r="43">
      <c r="A43" s="2" t="inlineStr"/>
      <c r="B43" s="2" t="inlineStr">
        <is>
          <t>111001098892</t>
        </is>
      </c>
      <c r="C43" s="2" t="inlineStr">
        <is>
          <t>COLEGIO BELLAVISTA (IED)</t>
        </is>
      </c>
      <c r="D43" s="2" t="inlineStr">
        <is>
          <t>LIZ SALOME JOYA MELO</t>
        </is>
      </c>
      <c r="E43" s="2" t="inlineStr">
        <is>
          <t>1233513554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/>
      <c r="T43" s="6" t="inlineStr">
        <is>
          <t>INCORRECTO</t>
        </is>
      </c>
      <c r="U43" s="2" t="inlineStr"/>
      <c r="V43" s="6" t="inlineStr">
        <is>
          <t>INCORRECTO</t>
        </is>
      </c>
      <c r="W43" s="2" t="inlineStr"/>
      <c r="X43" s="6" t="inlineStr">
        <is>
          <t>INCORRECTO</t>
        </is>
      </c>
      <c r="Y43" s="2" t="inlineStr"/>
      <c r="Z43" s="6" t="inlineStr">
        <is>
          <t>INCORRECTO</t>
        </is>
      </c>
      <c r="AA43" s="2" t="inlineStr"/>
      <c r="AB43" s="6" t="inlineStr">
        <is>
          <t>INCORRECTO</t>
        </is>
      </c>
      <c r="AC43" s="2" t="inlineStr">
        <is>
          <t>B</t>
        </is>
      </c>
      <c r="AD43" s="6" t="inlineStr">
        <is>
          <t>INCORRECTO</t>
        </is>
      </c>
      <c r="AE43" s="2" t="inlineStr">
        <is>
          <t>D</t>
        </is>
      </c>
      <c r="AF43" s="6" t="inlineStr">
        <is>
          <t>INCORRECTO</t>
        </is>
      </c>
      <c r="AG43" s="2" t="inlineStr">
        <is>
          <t>C</t>
        </is>
      </c>
      <c r="AH43" s="6" t="inlineStr">
        <is>
          <t>INCORRECTO</t>
        </is>
      </c>
      <c r="AI43" s="2" t="inlineStr">
        <is>
          <t>C</t>
        </is>
      </c>
      <c r="AJ43" s="6" t="inlineStr">
        <is>
          <t>INCORRECTO</t>
        </is>
      </c>
      <c r="AK43" s="2" t="inlineStr">
        <is>
          <t>D</t>
        </is>
      </c>
      <c r="AL43" s="6" t="inlineStr">
        <is>
          <t>INCORRECTO</t>
        </is>
      </c>
      <c r="AM43" s="4">
        <f>COUNTIF(J43:AL43,"CORRECTO")</f>
        <v/>
      </c>
      <c r="AN43" s="4">
        <f>COUNTIF(J43:AL43,"INCORRECTO")</f>
        <v/>
      </c>
      <c r="AO43" s="4" t="n">
        <v>15</v>
      </c>
      <c r="AP43" s="5">
        <f>AM43/AO43</f>
        <v/>
      </c>
    </row>
    <row r="44">
      <c r="A44" s="2" t="inlineStr"/>
      <c r="B44" s="2" t="inlineStr">
        <is>
          <t>111001098892</t>
        </is>
      </c>
      <c r="C44" s="2" t="inlineStr">
        <is>
          <t>COLEGIO BELLAVISTA (IED)</t>
        </is>
      </c>
      <c r="D44" s="2" t="inlineStr">
        <is>
          <t>JUAN SEBASTIAN DAZA OSPITIA</t>
        </is>
      </c>
      <c r="E44" s="2" t="inlineStr">
        <is>
          <t>1030701236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6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6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6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4">
        <f>COUNTIF(J44:AL44,"CORRECTO")</f>
        <v/>
      </c>
      <c r="AN44" s="4">
        <f>COUNTIF(J44:AL44,"INCORRECTO")</f>
        <v/>
      </c>
      <c r="AO44" s="4" t="n">
        <v>15</v>
      </c>
      <c r="AP44" s="5">
        <f>AM44/AO44</f>
        <v/>
      </c>
    </row>
    <row r="45">
      <c r="A45" s="2" t="inlineStr"/>
      <c r="B45" s="2" t="inlineStr">
        <is>
          <t>111001098892</t>
        </is>
      </c>
      <c r="C45" s="2" t="inlineStr">
        <is>
          <t>COLEGIO BELLAVISTA (IED)</t>
        </is>
      </c>
      <c r="D45" s="2" t="inlineStr">
        <is>
          <t>JUAN SEBASTIAN DAZA OSPITIA</t>
        </is>
      </c>
      <c r="E45" s="2" t="inlineStr">
        <is>
          <t>1030701236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6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/>
      <c r="AJ45" s="6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4">
        <f>COUNTIF(J45:AL45,"CORRECTO")</f>
        <v/>
      </c>
      <c r="AN45" s="4">
        <f>COUNTIF(J45:AL45,"INCORRECTO")</f>
        <v/>
      </c>
      <c r="AO45" s="4" t="n">
        <v>15</v>
      </c>
      <c r="AP45" s="5">
        <f>AM45/AO45</f>
        <v/>
      </c>
    </row>
    <row r="46">
      <c r="A46" s="2" t="inlineStr"/>
      <c r="B46" s="2" t="inlineStr">
        <is>
          <t>111001098892</t>
        </is>
      </c>
      <c r="C46" s="2" t="inlineStr">
        <is>
          <t>COLEGIO BELLAVISTA (IED)</t>
        </is>
      </c>
      <c r="D46" s="2" t="inlineStr">
        <is>
          <t>MAYCOL DUVAN PINEDA DIAZ</t>
        </is>
      </c>
      <c r="E46" s="2" t="inlineStr">
        <is>
          <t>1050221404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D</t>
        </is>
      </c>
      <c r="L46" s="6" t="inlineStr">
        <is>
          <t>INCORRECTO</t>
        </is>
      </c>
      <c r="M46" s="2" t="inlineStr">
        <is>
          <t>A</t>
        </is>
      </c>
      <c r="N46" s="6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/>
      <c r="R46" s="6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D</t>
        </is>
      </c>
      <c r="V46" s="6" t="inlineStr">
        <is>
          <t>INCORRECTO</t>
        </is>
      </c>
      <c r="W46" s="2" t="inlineStr">
        <is>
          <t>C</t>
        </is>
      </c>
      <c r="X46" s="6" t="inlineStr">
        <is>
          <t>INCORRECTO</t>
        </is>
      </c>
      <c r="Y46" s="2" t="inlineStr">
        <is>
          <t>A</t>
        </is>
      </c>
      <c r="Z46" s="6" t="inlineStr">
        <is>
          <t>INCORRECTO</t>
        </is>
      </c>
      <c r="AA46" s="2" t="inlineStr">
        <is>
          <t>A</t>
        </is>
      </c>
      <c r="AB46" s="6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4">
        <f>COUNTIF(J46:AL46,"CORRECTO")</f>
        <v/>
      </c>
      <c r="AN46" s="4">
        <f>COUNTIF(J46:AL46,"INCORRECTO")</f>
        <v/>
      </c>
      <c r="AO46" s="4" t="n">
        <v>15</v>
      </c>
      <c r="AP46" s="5">
        <f>AM46/AO46</f>
        <v/>
      </c>
    </row>
    <row r="47">
      <c r="A47" s="2" t="inlineStr"/>
      <c r="B47" s="2" t="inlineStr">
        <is>
          <t>111001098892</t>
        </is>
      </c>
      <c r="C47" s="2" t="inlineStr">
        <is>
          <t>COLEGIO BELLAVISTA (IED)</t>
        </is>
      </c>
      <c r="D47" s="2" t="inlineStr">
        <is>
          <t>MAYCOL DUVAN PINEDA DIAZ</t>
        </is>
      </c>
      <c r="E47" s="2" t="inlineStr">
        <is>
          <t>1050221404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6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6" t="inlineStr">
        <is>
          <t>INCORRECTO</t>
        </is>
      </c>
      <c r="AM47" s="4">
        <f>COUNTIF(J47:AL47,"CORRECTO")</f>
        <v/>
      </c>
      <c r="AN47" s="4">
        <f>COUNTIF(J47:AL47,"INCORRECTO")</f>
        <v/>
      </c>
      <c r="AO47" s="4" t="n">
        <v>15</v>
      </c>
      <c r="AP47" s="5">
        <f>AM47/AO47</f>
        <v/>
      </c>
    </row>
    <row r="48">
      <c r="A48" s="2" t="inlineStr"/>
      <c r="B48" s="2" t="inlineStr">
        <is>
          <t>111001098892</t>
        </is>
      </c>
      <c r="C48" s="2" t="inlineStr">
        <is>
          <t>COLEGIO BELLAVISTA (IED)</t>
        </is>
      </c>
      <c r="D48" s="2" t="inlineStr">
        <is>
          <t>EMILY DAHIAN LOPEZ ROMERO</t>
        </is>
      </c>
      <c r="E48" s="2" t="inlineStr">
        <is>
          <t>1222218136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6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6" t="inlineStr">
        <is>
          <t>INCORRECTO</t>
        </is>
      </c>
      <c r="AA48" s="2" t="inlineStr">
        <is>
          <t>B</t>
        </is>
      </c>
      <c r="AB48" s="6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6" t="inlineStr">
        <is>
          <t>INCORRECTO</t>
        </is>
      </c>
      <c r="AM48" s="4">
        <f>COUNTIF(J48:AL48,"CORRECTO")</f>
        <v/>
      </c>
      <c r="AN48" s="4">
        <f>COUNTIF(J48:AL48,"INCORRECTO")</f>
        <v/>
      </c>
      <c r="AO48" s="4" t="n">
        <v>15</v>
      </c>
      <c r="AP48" s="5">
        <f>AM48/AO48</f>
        <v/>
      </c>
    </row>
    <row r="49">
      <c r="A49" s="2" t="inlineStr"/>
      <c r="B49" s="2" t="inlineStr">
        <is>
          <t>111001098892</t>
        </is>
      </c>
      <c r="C49" s="2" t="inlineStr">
        <is>
          <t>COLEGIO BELLAVISTA (IED)</t>
        </is>
      </c>
      <c r="D49" s="2" t="inlineStr">
        <is>
          <t>EMILY DAHIAN LOPEZ ROMERO</t>
        </is>
      </c>
      <c r="E49" s="2" t="inlineStr">
        <is>
          <t>1222218136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D</t>
        </is>
      </c>
      <c r="R49" s="6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6" t="inlineStr">
        <is>
          <t>INCORRECTO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4">
        <f>COUNTIF(J49:AL49,"CORRECTO")</f>
        <v/>
      </c>
      <c r="AN49" s="4">
        <f>COUNTIF(J49:AL49,"INCORRECTO")</f>
        <v/>
      </c>
      <c r="AO49" s="4" t="n">
        <v>15</v>
      </c>
      <c r="AP49" s="5">
        <f>AM49/AO49</f>
        <v/>
      </c>
    </row>
    <row r="50">
      <c r="A50" s="2" t="inlineStr"/>
      <c r="B50" s="2" t="inlineStr">
        <is>
          <t>111001098892</t>
        </is>
      </c>
      <c r="C50" s="2" t="inlineStr">
        <is>
          <t>COLEGIO BELLAVISTA (IED)</t>
        </is>
      </c>
      <c r="D50" s="2" t="inlineStr">
        <is>
          <t>THALIA SALOME COTERA MORELO</t>
        </is>
      </c>
      <c r="E50" s="2" t="inlineStr">
        <is>
          <t>1016110938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6" t="inlineStr">
        <is>
          <t>INCORRECTO</t>
        </is>
      </c>
      <c r="Q50" s="2" t="inlineStr">
        <is>
          <t>A</t>
        </is>
      </c>
      <c r="R50" s="6" t="inlineStr">
        <is>
          <t>INCORRECTO</t>
        </is>
      </c>
      <c r="S50" s="2" t="inlineStr">
        <is>
          <t>B</t>
        </is>
      </c>
      <c r="T50" s="6" t="inlineStr">
        <is>
          <t>INCORRECTO</t>
        </is>
      </c>
      <c r="U50" s="2" t="inlineStr">
        <is>
          <t>C</t>
        </is>
      </c>
      <c r="V50" s="6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6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D</t>
        </is>
      </c>
      <c r="AL50" s="6" t="inlineStr">
        <is>
          <t>INCORRECTO</t>
        </is>
      </c>
      <c r="AM50" s="4">
        <f>COUNTIF(J50:AL50,"CORRECTO")</f>
        <v/>
      </c>
      <c r="AN50" s="4">
        <f>COUNTIF(J50:AL50,"INCORRECTO")</f>
        <v/>
      </c>
      <c r="AO50" s="4" t="n">
        <v>15</v>
      </c>
      <c r="AP50" s="5">
        <f>AM50/AO50</f>
        <v/>
      </c>
    </row>
    <row r="51">
      <c r="A51" s="2" t="inlineStr"/>
      <c r="B51" s="2" t="inlineStr">
        <is>
          <t>111001098892</t>
        </is>
      </c>
      <c r="C51" s="2" t="inlineStr">
        <is>
          <t>COLEGIO BELLAVISTA (IED)</t>
        </is>
      </c>
      <c r="D51" s="2" t="inlineStr">
        <is>
          <t>THALIA SALOME COTERA MORELO</t>
        </is>
      </c>
      <c r="E51" s="2" t="inlineStr">
        <is>
          <t>1016110938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B</t>
        </is>
      </c>
      <c r="R51" s="6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6" t="inlineStr">
        <is>
          <t>INCORRECTO</t>
        </is>
      </c>
      <c r="AG51" s="2" t="inlineStr">
        <is>
          <t>C</t>
        </is>
      </c>
      <c r="AH51" s="6" t="inlineStr">
        <is>
          <t>INCORRECTO</t>
        </is>
      </c>
      <c r="AI51" s="2" t="inlineStr">
        <is>
          <t>C</t>
        </is>
      </c>
      <c r="AJ51" s="6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4">
        <f>COUNTIF(J51:AL51,"CORRECTO")</f>
        <v/>
      </c>
      <c r="AN51" s="4">
        <f>COUNTIF(J51:AL51,"INCORRECTO")</f>
        <v/>
      </c>
      <c r="AO51" s="4" t="n">
        <v>15</v>
      </c>
      <c r="AP51" s="5">
        <f>AM51/AO51</f>
        <v/>
      </c>
    </row>
    <row r="52">
      <c r="A52" s="2" t="inlineStr"/>
      <c r="B52" s="2" t="inlineStr">
        <is>
          <t>111001098892</t>
        </is>
      </c>
      <c r="C52" s="2" t="inlineStr">
        <is>
          <t>COLEGIO BELLAVISTA (IED)</t>
        </is>
      </c>
      <c r="D52" s="2" t="inlineStr">
        <is>
          <t>JULIAN EDUARDO HERNANDEZ BAUTISTA</t>
        </is>
      </c>
      <c r="E52" s="2" t="inlineStr">
        <is>
          <t>1141361060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C</t>
        </is>
      </c>
      <c r="L52" s="6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6" t="inlineStr">
        <is>
          <t>INCORRECTO</t>
        </is>
      </c>
      <c r="Y52" s="2" t="inlineStr">
        <is>
          <t>A</t>
        </is>
      </c>
      <c r="Z52" s="6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6" t="inlineStr">
        <is>
          <t>INCORRECTO</t>
        </is>
      </c>
      <c r="AM52" s="4">
        <f>COUNTIF(J52:AL52,"CORRECTO")</f>
        <v/>
      </c>
      <c r="AN52" s="4">
        <f>COUNTIF(J52:AL52,"INCORRECTO")</f>
        <v/>
      </c>
      <c r="AO52" s="4" t="n">
        <v>15</v>
      </c>
      <c r="AP52" s="5">
        <f>AM52/AO52</f>
        <v/>
      </c>
    </row>
    <row r="53">
      <c r="A53" s="2" t="inlineStr"/>
      <c r="B53" s="2" t="inlineStr">
        <is>
          <t>111001098892</t>
        </is>
      </c>
      <c r="C53" s="2" t="inlineStr">
        <is>
          <t>COLEGIO BELLAVISTA (IED)</t>
        </is>
      </c>
      <c r="D53" s="2" t="inlineStr">
        <is>
          <t>JULIAN EDUARDO HERNANDEZ BAUTISTA</t>
        </is>
      </c>
      <c r="E53" s="2" t="inlineStr">
        <is>
          <t>1141361060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6" t="inlineStr">
        <is>
          <t>INCORRECTO</t>
        </is>
      </c>
      <c r="AE53" s="2" t="inlineStr"/>
      <c r="AF53" s="6" t="inlineStr">
        <is>
          <t>INCORRECTO</t>
        </is>
      </c>
      <c r="AG53" s="2" t="inlineStr">
        <is>
          <t>D</t>
        </is>
      </c>
      <c r="AH53" s="6" t="inlineStr">
        <is>
          <t>INCORRECTO</t>
        </is>
      </c>
      <c r="AI53" s="2" t="inlineStr">
        <is>
          <t>D</t>
        </is>
      </c>
      <c r="AJ53" s="6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4">
        <f>COUNTIF(J53:AL53,"CORRECTO")</f>
        <v/>
      </c>
      <c r="AN53" s="4">
        <f>COUNTIF(J53:AL53,"INCORRECTO")</f>
        <v/>
      </c>
      <c r="AO53" s="4" t="n">
        <v>15</v>
      </c>
      <c r="AP53" s="5">
        <f>AM53/AO53</f>
        <v/>
      </c>
    </row>
    <row r="54">
      <c r="A54" s="2" t="inlineStr"/>
      <c r="B54" s="2" t="inlineStr">
        <is>
          <t>111001098892</t>
        </is>
      </c>
      <c r="C54" s="2" t="inlineStr">
        <is>
          <t>COLEGIO BELLAVISTA (IED)</t>
        </is>
      </c>
      <c r="D54" s="2" t="inlineStr">
        <is>
          <t>NICOLAS GABRIEL SIERRA ARISTIZABAL</t>
        </is>
      </c>
      <c r="E54" s="2" t="inlineStr">
        <is>
          <t>1027299943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6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6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6" t="inlineStr">
        <is>
          <t>INCORRECTO</t>
        </is>
      </c>
      <c r="AG54" s="2" t="inlineStr">
        <is>
          <t>D</t>
        </is>
      </c>
      <c r="AH54" s="6" t="inlineStr">
        <is>
          <t>INCORRECTO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4">
        <f>COUNTIF(J54:AL54,"CORRECTO")</f>
        <v/>
      </c>
      <c r="AN54" s="4">
        <f>COUNTIF(J54:AL54,"INCORRECTO")</f>
        <v/>
      </c>
      <c r="AO54" s="4" t="n">
        <v>15</v>
      </c>
      <c r="AP54" s="5">
        <f>AM54/AO54</f>
        <v/>
      </c>
    </row>
    <row r="55">
      <c r="A55" s="2" t="inlineStr"/>
      <c r="B55" s="2" t="inlineStr">
        <is>
          <t>111001098892</t>
        </is>
      </c>
      <c r="C55" s="2" t="inlineStr">
        <is>
          <t>COLEGIO BELLAVISTA (IED)</t>
        </is>
      </c>
      <c r="D55" s="2" t="inlineStr">
        <is>
          <t>NICOLAS GABRIEL SIERRA ARISTIZABAL</t>
        </is>
      </c>
      <c r="E55" s="2" t="inlineStr">
        <is>
          <t>1027299943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D</t>
        </is>
      </c>
      <c r="R55" s="6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6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6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6" t="inlineStr">
        <is>
          <t>INCORRECTO</t>
        </is>
      </c>
      <c r="AM55" s="4">
        <f>COUNTIF(J55:AL55,"CORRECTO")</f>
        <v/>
      </c>
      <c r="AN55" s="4">
        <f>COUNTIF(J55:AL55,"INCORRECTO")</f>
        <v/>
      </c>
      <c r="AO55" s="4" t="n">
        <v>15</v>
      </c>
      <c r="AP55" s="5">
        <f>AM55/AO55</f>
        <v/>
      </c>
    </row>
    <row r="56">
      <c r="A56" s="2" t="inlineStr"/>
      <c r="B56" s="2" t="inlineStr">
        <is>
          <t>111001098892</t>
        </is>
      </c>
      <c r="C56" s="2" t="inlineStr">
        <is>
          <t>COLEGIO BELLAVISTA (IED)</t>
        </is>
      </c>
      <c r="D56" s="2" t="inlineStr">
        <is>
          <t>DELANY GABRIELA ROJAS BELTRAN</t>
        </is>
      </c>
      <c r="E56" s="2" t="inlineStr">
        <is>
          <t>1141361951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C</t>
        </is>
      </c>
      <c r="L56" s="6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6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6" t="inlineStr">
        <is>
          <t>INCORRECTO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A</t>
        </is>
      </c>
      <c r="Z56" s="6" t="inlineStr">
        <is>
          <t>INCORRECTO</t>
        </is>
      </c>
      <c r="AA56" s="2" t="inlineStr">
        <is>
          <t>D</t>
        </is>
      </c>
      <c r="AB56" s="6" t="inlineStr">
        <is>
          <t>INCORRECTO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4">
        <f>COUNTIF(J56:AL56,"CORRECTO")</f>
        <v/>
      </c>
      <c r="AN56" s="4">
        <f>COUNTIF(J56:AL56,"INCORRECTO")</f>
        <v/>
      </c>
      <c r="AO56" s="4" t="n">
        <v>15</v>
      </c>
      <c r="AP56" s="5">
        <f>AM56/AO56</f>
        <v/>
      </c>
    </row>
    <row r="57">
      <c r="A57" s="2" t="inlineStr"/>
      <c r="B57" s="2" t="inlineStr">
        <is>
          <t>111001098892</t>
        </is>
      </c>
      <c r="C57" s="2" t="inlineStr">
        <is>
          <t>COLEGIO BELLAVISTA (IED)</t>
        </is>
      </c>
      <c r="D57" s="2" t="inlineStr">
        <is>
          <t>DELANY GABRIELA ROJAS BELTRAN</t>
        </is>
      </c>
      <c r="E57" s="2" t="inlineStr">
        <is>
          <t>1141361951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6" t="inlineStr">
        <is>
          <t>INCORRECTO</t>
        </is>
      </c>
      <c r="AE57" s="2" t="inlineStr">
        <is>
          <t>D</t>
        </is>
      </c>
      <c r="AF57" s="6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4">
        <f>COUNTIF(J57:AL57,"CORRECTO")</f>
        <v/>
      </c>
      <c r="AN57" s="4">
        <f>COUNTIF(J57:AL57,"INCORRECTO")</f>
        <v/>
      </c>
      <c r="AO57" s="4" t="n">
        <v>15</v>
      </c>
      <c r="AP57" s="5">
        <f>AM57/AO57</f>
        <v/>
      </c>
    </row>
    <row r="58">
      <c r="A58" s="2" t="inlineStr"/>
      <c r="B58" s="2" t="inlineStr">
        <is>
          <t>111001098892</t>
        </is>
      </c>
      <c r="C58" s="2" t="inlineStr">
        <is>
          <t>COLEGIO BELLAVISTA (IED)</t>
        </is>
      </c>
      <c r="D58" s="2" t="inlineStr">
        <is>
          <t>JUAN SEBASTIAN LEGUIZAMON MARTIN</t>
        </is>
      </c>
      <c r="E58" s="2" t="inlineStr">
        <is>
          <t>1220225485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6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D</t>
        </is>
      </c>
      <c r="R58" s="6" t="inlineStr">
        <is>
          <t>INCORRECTO</t>
        </is>
      </c>
      <c r="S58" s="2" t="inlineStr">
        <is>
          <t>B</t>
        </is>
      </c>
      <c r="T58" s="6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6" t="inlineStr">
        <is>
          <t>INCORRECTO</t>
        </is>
      </c>
      <c r="Y58" s="2" t="inlineStr">
        <is>
          <t>B</t>
        </is>
      </c>
      <c r="Z58" s="6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6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4">
        <f>COUNTIF(J58:AL58,"CORRECTO")</f>
        <v/>
      </c>
      <c r="AN58" s="4">
        <f>COUNTIF(J58:AL58,"INCORRECTO")</f>
        <v/>
      </c>
      <c r="AO58" s="4" t="n">
        <v>15</v>
      </c>
      <c r="AP58" s="5">
        <f>AM58/AO58</f>
        <v/>
      </c>
    </row>
    <row r="59">
      <c r="A59" s="2" t="inlineStr"/>
      <c r="B59" s="2" t="inlineStr">
        <is>
          <t>111001098892</t>
        </is>
      </c>
      <c r="C59" s="2" t="inlineStr">
        <is>
          <t>COLEGIO BELLAVISTA (IED)</t>
        </is>
      </c>
      <c r="D59" s="2" t="inlineStr">
        <is>
          <t>JUAN SEBASTIAN LEGUIZAMON MARTIN</t>
        </is>
      </c>
      <c r="E59" s="2" t="inlineStr">
        <is>
          <t>1220225485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6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4">
        <f>COUNTIF(J59:AL59,"CORRECTO")</f>
        <v/>
      </c>
      <c r="AN59" s="4">
        <f>COUNTIF(J59:AL59,"INCORRECTO")</f>
        <v/>
      </c>
      <c r="AO59" s="4" t="n">
        <v>15</v>
      </c>
      <c r="AP59" s="5">
        <f>AM59/AO59</f>
        <v/>
      </c>
    </row>
    <row r="60">
      <c r="A60" s="2" t="inlineStr"/>
      <c r="B60" s="2" t="inlineStr">
        <is>
          <t>111001098892</t>
        </is>
      </c>
      <c r="C60" s="2" t="inlineStr">
        <is>
          <t>COLEGIO BELLAVISTA (IED)</t>
        </is>
      </c>
      <c r="D60" s="2" t="inlineStr">
        <is>
          <t>ANGEL HIDALGO CANDAMIL</t>
        </is>
      </c>
      <c r="E60" s="2" t="inlineStr">
        <is>
          <t>1141362596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D</t>
        </is>
      </c>
      <c r="L60" s="6" t="inlineStr">
        <is>
          <t>INCORRECTO</t>
        </is>
      </c>
      <c r="M60" s="2" t="inlineStr">
        <is>
          <t>B</t>
        </is>
      </c>
      <c r="N60" s="6" t="inlineStr">
        <is>
          <t>INCORRECTO</t>
        </is>
      </c>
      <c r="O60" s="2" t="inlineStr">
        <is>
          <t>D</t>
        </is>
      </c>
      <c r="P60" s="6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6" t="inlineStr">
        <is>
          <t>INCORRECTO</t>
        </is>
      </c>
      <c r="U60" s="2" t="inlineStr">
        <is>
          <t>C</t>
        </is>
      </c>
      <c r="V60" s="6" t="inlineStr">
        <is>
          <t>INCORRECTO</t>
        </is>
      </c>
      <c r="W60" s="2" t="inlineStr">
        <is>
          <t>C</t>
        </is>
      </c>
      <c r="X60" s="6" t="inlineStr">
        <is>
          <t>INCORRECTO</t>
        </is>
      </c>
      <c r="Y60" s="2" t="inlineStr">
        <is>
          <t>B</t>
        </is>
      </c>
      <c r="Z60" s="6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6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C</t>
        </is>
      </c>
      <c r="AL60" s="6" t="inlineStr">
        <is>
          <t>INCORRECTO</t>
        </is>
      </c>
      <c r="AM60" s="4">
        <f>COUNTIF(J60:AL60,"CORRECTO")</f>
        <v/>
      </c>
      <c r="AN60" s="4">
        <f>COUNTIF(J60:AL60,"INCORRECTO")</f>
        <v/>
      </c>
      <c r="AO60" s="4" t="n">
        <v>15</v>
      </c>
      <c r="AP60" s="5">
        <f>AM60/AO60</f>
        <v/>
      </c>
    </row>
    <row r="61">
      <c r="A61" s="2" t="inlineStr"/>
      <c r="B61" s="2" t="inlineStr">
        <is>
          <t>111001098892</t>
        </is>
      </c>
      <c r="C61" s="2" t="inlineStr">
        <is>
          <t>COLEGIO BELLAVISTA (IED)</t>
        </is>
      </c>
      <c r="D61" s="2" t="inlineStr">
        <is>
          <t>ANGEL HIDALGO CANDAMIL</t>
        </is>
      </c>
      <c r="E61" s="2" t="inlineStr">
        <is>
          <t>1141362596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6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C</t>
        </is>
      </c>
      <c r="AH61" s="6" t="inlineStr">
        <is>
          <t>INCORRECTO</t>
        </is>
      </c>
      <c r="AI61" s="2" t="inlineStr">
        <is>
          <t>C</t>
        </is>
      </c>
      <c r="AJ61" s="6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4">
        <f>COUNTIF(J61:AL61,"CORRECTO")</f>
        <v/>
      </c>
      <c r="AN61" s="4">
        <f>COUNTIF(J61:AL61,"INCORRECTO")</f>
        <v/>
      </c>
      <c r="AO61" s="4" t="n">
        <v>15</v>
      </c>
      <c r="AP61" s="5">
        <f>AM61/AO61</f>
        <v/>
      </c>
    </row>
    <row r="62">
      <c r="A62" s="2" t="inlineStr"/>
      <c r="B62" s="2" t="inlineStr">
        <is>
          <t>111001098892</t>
        </is>
      </c>
      <c r="C62" s="2" t="inlineStr">
        <is>
          <t>COLEGIO BELLAVISTA (IED)</t>
        </is>
      </c>
      <c r="D62" s="2" t="inlineStr">
        <is>
          <t>DARWIN CERQUERA ACEVEDO</t>
        </is>
      </c>
      <c r="E62" s="2" t="inlineStr">
        <is>
          <t>1030698795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A</t>
        </is>
      </c>
      <c r="V62" s="6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A</t>
        </is>
      </c>
      <c r="Z62" s="6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D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6" t="inlineStr">
        <is>
          <t>INCORRECTO</t>
        </is>
      </c>
      <c r="AM62" s="4">
        <f>COUNTIF(J62:AL62,"CORRECTO")</f>
        <v/>
      </c>
      <c r="AN62" s="4">
        <f>COUNTIF(J62:AL62,"INCORRECTO")</f>
        <v/>
      </c>
      <c r="AO62" s="4" t="n">
        <v>15</v>
      </c>
      <c r="AP62" s="5">
        <f>AM62/AO62</f>
        <v/>
      </c>
    </row>
    <row r="63">
      <c r="A63" s="2" t="inlineStr"/>
      <c r="B63" s="2" t="inlineStr">
        <is>
          <t>111001098892</t>
        </is>
      </c>
      <c r="C63" s="2" t="inlineStr">
        <is>
          <t>COLEGIO BELLAVISTA (IED)</t>
        </is>
      </c>
      <c r="D63" s="2" t="inlineStr">
        <is>
          <t>DARWIN CERQUERA ACEVEDO</t>
        </is>
      </c>
      <c r="E63" s="2" t="inlineStr">
        <is>
          <t>1030698795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A</t>
        </is>
      </c>
      <c r="P63" s="6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6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6" t="inlineStr">
        <is>
          <t>INCORRECTO</t>
        </is>
      </c>
      <c r="AM63" s="4">
        <f>COUNTIF(J63:AL63,"CORRECTO")</f>
        <v/>
      </c>
      <c r="AN63" s="4">
        <f>COUNTIF(J63:AL63,"INCORRECTO")</f>
        <v/>
      </c>
      <c r="AO63" s="4" t="n">
        <v>15</v>
      </c>
      <c r="AP63" s="5">
        <f>AM63/AO63</f>
        <v/>
      </c>
    </row>
    <row r="64">
      <c r="A64" s="2" t="inlineStr"/>
      <c r="B64" s="2" t="inlineStr">
        <is>
          <t>111001098892</t>
        </is>
      </c>
      <c r="C64" s="2" t="inlineStr">
        <is>
          <t>COLEGIO BELLAVISTA (IED)</t>
        </is>
      </c>
      <c r="D64" s="2" t="inlineStr">
        <is>
          <t>SAMUEL DANIEL GIRALDO GARZON</t>
        </is>
      </c>
      <c r="E64" s="2" t="inlineStr">
        <is>
          <t>1016112921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C</t>
        </is>
      </c>
      <c r="L64" s="6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6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6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6" t="inlineStr">
        <is>
          <t>INCORRECTO</t>
        </is>
      </c>
      <c r="Y64" s="2" t="inlineStr">
        <is>
          <t>D</t>
        </is>
      </c>
      <c r="Z64" s="6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6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6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4">
        <f>COUNTIF(J64:AL64,"CORRECTO")</f>
        <v/>
      </c>
      <c r="AN64" s="4">
        <f>COUNTIF(J64:AL64,"INCORRECTO")</f>
        <v/>
      </c>
      <c r="AO64" s="4" t="n">
        <v>15</v>
      </c>
      <c r="AP64" s="5">
        <f>AM64/AO64</f>
        <v/>
      </c>
    </row>
    <row r="65">
      <c r="A65" s="2" t="inlineStr"/>
      <c r="B65" s="2" t="inlineStr">
        <is>
          <t>111001098892</t>
        </is>
      </c>
      <c r="C65" s="2" t="inlineStr">
        <is>
          <t>COLEGIO BELLAVISTA (IED)</t>
        </is>
      </c>
      <c r="D65" s="2" t="inlineStr">
        <is>
          <t>SAMUEL DANIEL GIRALDO GARZON</t>
        </is>
      </c>
      <c r="E65" s="2" t="inlineStr">
        <is>
          <t>1016112921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A</t>
        </is>
      </c>
      <c r="J65" s="6" t="inlineStr">
        <is>
          <t>INCORRECTO</t>
        </is>
      </c>
      <c r="K65" s="2" t="inlineStr">
        <is>
          <t>D</t>
        </is>
      </c>
      <c r="L65" s="6" t="inlineStr">
        <is>
          <t>INCORRECTO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A</t>
        </is>
      </c>
      <c r="R65" s="6" t="inlineStr">
        <is>
          <t>INCORRECTO</t>
        </is>
      </c>
      <c r="S65" s="2" t="inlineStr">
        <is>
          <t>C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6" t="inlineStr">
        <is>
          <t>INCORRECTO</t>
        </is>
      </c>
      <c r="Y65" s="2" t="inlineStr">
        <is>
          <t>A</t>
        </is>
      </c>
      <c r="Z65" s="6" t="inlineStr">
        <is>
          <t>INCORRECTO</t>
        </is>
      </c>
      <c r="AA65" s="2" t="inlineStr">
        <is>
          <t>B</t>
        </is>
      </c>
      <c r="AB65" s="6" t="inlineStr">
        <is>
          <t>INCORRECTO</t>
        </is>
      </c>
      <c r="AC65" s="2" t="inlineStr">
        <is>
          <t>A</t>
        </is>
      </c>
      <c r="AD65" s="6" t="inlineStr">
        <is>
          <t>INCORRECTO</t>
        </is>
      </c>
      <c r="AE65" s="2" t="inlineStr">
        <is>
          <t>A</t>
        </is>
      </c>
      <c r="AF65" s="6" t="inlineStr">
        <is>
          <t>INCORRECTO</t>
        </is>
      </c>
      <c r="AG65" s="2" t="inlineStr">
        <is>
          <t>B</t>
        </is>
      </c>
      <c r="AH65" s="6" t="inlineStr">
        <is>
          <t>INCORRECTO</t>
        </is>
      </c>
      <c r="AI65" s="2" t="inlineStr">
        <is>
          <t>D</t>
        </is>
      </c>
      <c r="AJ65" s="6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4">
        <f>COUNTIF(J65:AL65,"CORRECTO")</f>
        <v/>
      </c>
      <c r="AN65" s="4">
        <f>COUNTIF(J65:AL65,"INCORRECTO")</f>
        <v/>
      </c>
      <c r="AO65" s="4" t="n">
        <v>15</v>
      </c>
      <c r="AP65" s="5">
        <f>AM65/AO65</f>
        <v/>
      </c>
    </row>
    <row r="66">
      <c r="A66" s="2" t="inlineStr"/>
      <c r="B66" s="2" t="inlineStr">
        <is>
          <t>111001098892</t>
        </is>
      </c>
      <c r="C66" s="2" t="inlineStr">
        <is>
          <t>COLEGIO BELLAVISTA (IED)</t>
        </is>
      </c>
      <c r="D66" s="2" t="inlineStr">
        <is>
          <t>VERONICA CAICEDO PAEZ</t>
        </is>
      </c>
      <c r="E66" s="2" t="inlineStr">
        <is>
          <t>1011248117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C</t>
        </is>
      </c>
      <c r="V66" s="6" t="inlineStr">
        <is>
          <t>INCORRECTO</t>
        </is>
      </c>
      <c r="W66" s="2" t="inlineStr">
        <is>
          <t>B</t>
        </is>
      </c>
      <c r="X66" s="6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6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4">
        <f>COUNTIF(J66:AL66,"CORRECTO")</f>
        <v/>
      </c>
      <c r="AN66" s="4">
        <f>COUNTIF(J66:AL66,"INCORRECTO")</f>
        <v/>
      </c>
      <c r="AO66" s="4" t="n">
        <v>15</v>
      </c>
      <c r="AP66" s="5">
        <f>AM66/AO66</f>
        <v/>
      </c>
    </row>
    <row r="67">
      <c r="A67" s="2" t="inlineStr"/>
      <c r="B67" s="2" t="inlineStr">
        <is>
          <t>111001098892</t>
        </is>
      </c>
      <c r="C67" s="2" t="inlineStr">
        <is>
          <t>COLEGIO BELLAVISTA (IED)</t>
        </is>
      </c>
      <c r="D67" s="2" t="inlineStr">
        <is>
          <t>VERONICA CAICEDO PAEZ</t>
        </is>
      </c>
      <c r="E67" s="2" t="inlineStr">
        <is>
          <t>1011248117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4">
        <f>COUNTIF(J67:AL67,"CORRECTO")</f>
        <v/>
      </c>
      <c r="AN67" s="4">
        <f>COUNTIF(J67:AL67,"INCORRECTO")</f>
        <v/>
      </c>
      <c r="AO67" s="4" t="n">
        <v>15</v>
      </c>
      <c r="AP67" s="5">
        <f>AM67/AO67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2026-06-25T15:38:59Z</dcterms:created>
  <dcterms:modified xmlns:dcterms="http://purl.org/dc/terms/" xmlns:xsi="http://www.w3.org/2001/XMLSchema-instance" xsi:type="dcterms:W3CDTF">2026-06-25T15:38:59Z</dcterms:modified>
</cp:coreProperties>
</file>